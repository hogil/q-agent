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추진일정" sheetId="2" state="visible" r:id="rId4"/>
    <sheet name="마일스톤·산출물" sheetId="3" state="visible" r:id="rId5"/>
    <sheet name="소요자원" sheetId="4" state="visible" r:id="rId6"/>
    <sheet name="예산·ROI" sheetId="5" state="visible" r:id="rId7"/>
    <sheet name="KPI·검증" sheetId="6" state="visible" r:id="rId8"/>
    <sheet name="리스크관리" sheetId="7" state="visible" r:id="rId9"/>
    <sheet name="역할분담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<sst xmlns="http://schemas.openxmlformats.org/spreadsheetml/2006/main" count="587" uniqueCount="470">
  <si>
    <r>
      <rPr>
        <b val="true"/>
        <sz val="15"/>
        <color rgb="FFFFFFFF"/>
        <rFont val="Noto Sans CJK SC"/>
        <family val="2"/>
      </rPr>
      <t xml:space="preserve">과제 지원서 별첨 — 추진일정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소요자원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예산</t>
    </r>
  </si>
  <si>
    <r>
      <rPr>
        <i val="true"/>
        <sz val="9.5"/>
        <color rgb="FF595959"/>
        <rFont val="Noto Sans CJK SC"/>
        <family val="2"/>
      </rPr>
      <t xml:space="preserve">반도체 품질 이상감지</t>
    </r>
    <r>
      <rPr>
        <i val="true"/>
        <sz val="9.5"/>
        <color rgb="FF595959"/>
        <rFont val="맑은 고딕"/>
        <family val="0"/>
        <charset val="1"/>
      </rPr>
      <t xml:space="preserve">·</t>
    </r>
    <r>
      <rPr>
        <i val="true"/>
        <sz val="9.5"/>
        <color rgb="FF595959"/>
        <rFont val="Noto Sans CJK SC"/>
        <family val="2"/>
      </rPr>
      <t xml:space="preserve">판단 </t>
    </r>
    <r>
      <rPr>
        <i val="true"/>
        <sz val="9.5"/>
        <color rgb="FF595959"/>
        <rFont val="맑은 고딕"/>
        <family val="0"/>
        <charset val="1"/>
      </rPr>
      <t xml:space="preserve">AI Agent Orchestration </t>
    </r>
    <r>
      <rPr>
        <i val="true"/>
        <sz val="9.5"/>
        <color rgb="FF595959"/>
        <rFont val="Noto Sans CJK SC"/>
        <family val="2"/>
      </rPr>
      <t xml:space="preserve">구축 </t>
    </r>
    <r>
      <rPr>
        <i val="true"/>
        <sz val="9.5"/>
        <color rgb="FF595959"/>
        <rFont val="맑은 고딕"/>
        <family val="0"/>
        <charset val="1"/>
      </rPr>
      <t xml:space="preserve">· </t>
    </r>
    <r>
      <rPr>
        <i val="true"/>
        <sz val="9.5"/>
        <color rgb="FF595959"/>
        <rFont val="Noto Sans CJK SC"/>
        <family val="2"/>
      </rPr>
      <t xml:space="preserve">작성일 </t>
    </r>
    <r>
      <rPr>
        <i val="true"/>
        <sz val="9.5"/>
        <color rgb="FF595959"/>
        <rFont val="맑은 고딕"/>
        <family val="0"/>
        <charset val="1"/>
      </rPr>
      <t xml:space="preserve">2026-08-07</t>
    </r>
  </si>
  <si>
    <t xml:space="preserve">구분</t>
  </si>
  <si>
    <t xml:space="preserve">내용</t>
  </si>
  <si>
    <t xml:space="preserve">과제명</t>
  </si>
  <si>
    <r>
      <rPr>
        <sz val="10"/>
        <rFont val="Noto Sans CJK SC"/>
        <family val="2"/>
      </rPr>
      <t xml:space="preserve">반도체 품질 이상감지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판단 </t>
    </r>
    <r>
      <rPr>
        <sz val="10"/>
        <rFont val="맑은 고딕"/>
        <family val="0"/>
        <charset val="1"/>
      </rPr>
      <t xml:space="preserve">AI Agent Orchestration </t>
    </r>
    <r>
      <rPr>
        <sz val="10"/>
        <rFont val="Noto Sans CJK SC"/>
        <family val="2"/>
      </rPr>
      <t xml:space="preserve">구축</t>
    </r>
  </si>
  <si>
    <t xml:space="preserve">과제 유형</t>
  </si>
  <si>
    <r>
      <rPr>
        <sz val="10"/>
        <rFont val="Noto Sans CJK SC"/>
        <family val="2"/>
      </rPr>
      <t xml:space="preserve">신규 시스템 구축 </t>
    </r>
    <r>
      <rPr>
        <sz val="10"/>
        <rFont val="맑은 고딕"/>
        <family val="0"/>
        <charset val="1"/>
      </rPr>
      <t xml:space="preserve">(AI </t>
    </r>
    <r>
      <rPr>
        <sz val="10"/>
        <rFont val="Noto Sans CJK SC"/>
        <family val="2"/>
      </rPr>
      <t xml:space="preserve">적용</t>
    </r>
    <r>
      <rPr>
        <sz val="10"/>
        <rFont val="맑은 고딕"/>
        <family val="0"/>
        <charset val="1"/>
      </rPr>
      <t xml:space="preserve">)</t>
    </r>
  </si>
  <si>
    <t xml:space="preserve">수행 기간</t>
  </si>
  <si>
    <r>
      <rPr>
        <sz val="10"/>
        <rFont val="맑은 고딕"/>
        <family val="0"/>
        <charset val="1"/>
      </rPr>
      <t xml:space="preserve">2026-09-01 ~ 2027-08-31 (12</t>
    </r>
    <r>
      <rPr>
        <sz val="10"/>
        <rFont val="Noto Sans CJK SC"/>
        <family val="2"/>
      </rPr>
      <t xml:space="preserve">개월</t>
    </r>
    <r>
      <rPr>
        <sz val="10"/>
        <rFont val="맑은 고딕"/>
        <family val="0"/>
        <charset val="1"/>
      </rPr>
      <t xml:space="preserve">)  ※ </t>
    </r>
    <r>
      <rPr>
        <sz val="10"/>
        <rFont val="Noto Sans CJK SC"/>
        <family val="2"/>
      </rPr>
      <t xml:space="preserve">제안값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심사 확정 시 조정</t>
    </r>
  </si>
  <si>
    <t xml:space="preserve">주관 부서</t>
  </si>
  <si>
    <r>
      <rPr>
        <sz val="10"/>
        <rFont val="Noto Sans CJK SC"/>
        <family val="2"/>
      </rPr>
      <t xml:space="preserve">제조기술센터 품질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공정 ◇</t>
    </r>
  </si>
  <si>
    <t xml:space="preserve">과제 책임자</t>
  </si>
  <si>
    <t xml:space="preserve">◇</t>
  </si>
  <si>
    <t xml:space="preserve">적용 대상</t>
  </si>
  <si>
    <r>
      <rPr>
        <sz val="10"/>
        <rFont val="Noto Sans CJK SC"/>
        <family val="2"/>
      </rPr>
      <t xml:space="preserve">제조기술센터 품질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공정 엔지니어 약 </t>
    </r>
    <r>
      <rPr>
        <sz val="10"/>
        <rFont val="맑은 고딕"/>
        <family val="0"/>
        <charset val="1"/>
      </rPr>
      <t xml:space="preserve">1,000</t>
    </r>
    <r>
      <rPr>
        <sz val="10"/>
        <rFont val="Noto Sans CJK SC"/>
        <family val="2"/>
      </rPr>
      <t xml:space="preserve">명</t>
    </r>
  </si>
  <si>
    <t xml:space="preserve">적용 범위</t>
  </si>
  <si>
    <r>
      <rPr>
        <sz val="10"/>
        <rFont val="Noto Sans CJK SC"/>
        <family val="2"/>
      </rPr>
      <t xml:space="preserve">포토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공정에서 시작 → </t>
    </r>
    <r>
      <rPr>
        <sz val="10"/>
        <rFont val="맑은 고딕"/>
        <family val="0"/>
        <charset val="1"/>
      </rPr>
      <t xml:space="preserve">etch·CMP </t>
    </r>
    <r>
      <rPr>
        <sz val="10"/>
        <rFont val="Noto Sans CJK SC"/>
        <family val="2"/>
      </rPr>
      <t xml:space="preserve">순차 확산</t>
    </r>
  </si>
  <si>
    <t xml:space="preserve">소요 자원</t>
  </si>
  <si>
    <r>
      <rPr>
        <sz val="10"/>
        <rFont val="맑은 고딕"/>
        <family val="0"/>
        <charset val="1"/>
      </rPr>
      <t xml:space="preserve">GPU H100 20</t>
    </r>
    <r>
      <rPr>
        <sz val="10"/>
        <rFont val="Noto Sans CJK SC"/>
        <family val="2"/>
      </rPr>
      <t xml:space="preserve">장 </t>
    </r>
    <r>
      <rPr>
        <sz val="10"/>
        <rFont val="맑은 고딕"/>
        <family val="0"/>
        <charset val="1"/>
      </rPr>
      <t xml:space="preserve">/ BIG VM 5</t>
    </r>
    <r>
      <rPr>
        <sz val="10"/>
        <rFont val="Noto Sans CJK SC"/>
        <family val="2"/>
      </rPr>
      <t xml:space="preserve">대 </t>
    </r>
    <r>
      <rPr>
        <sz val="10"/>
        <rFont val="맑은 고딕"/>
        <family val="0"/>
        <charset val="1"/>
      </rPr>
      <t xml:space="preserve">/ NAS 102,400GB + OBJ 51,200GB</t>
    </r>
  </si>
  <si>
    <t xml:space="preserve">투자 금액</t>
  </si>
  <si>
    <r>
      <rPr>
        <b val="true"/>
        <sz val="10"/>
        <rFont val="맑은 고딕"/>
        <family val="0"/>
        <charset val="1"/>
      </rPr>
      <t xml:space="preserve">347,794,165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(VM·</t>
    </r>
    <r>
      <rPr>
        <b val="true"/>
        <sz val="10"/>
        <rFont val="Noto Sans CJK SC"/>
        <family val="2"/>
      </rPr>
      <t xml:space="preserve">스토리지 사내 과금 기준</t>
    </r>
    <r>
      <rPr>
        <b val="true"/>
        <sz val="10"/>
        <rFont val="맑은 고딕"/>
        <family val="0"/>
        <charset val="1"/>
      </rPr>
      <t xml:space="preserve">)</t>
    </r>
  </si>
  <si>
    <t xml:space="preserve">기대 효과</t>
  </si>
  <si>
    <r>
      <rPr>
        <b val="true"/>
        <sz val="10"/>
        <rFont val="Noto Sans CJK SC"/>
        <family val="2"/>
      </rPr>
      <t xml:space="preserve">연 </t>
    </r>
    <r>
      <rPr>
        <b val="true"/>
        <sz val="10"/>
        <rFont val="맑은 고딕"/>
        <family val="0"/>
        <charset val="1"/>
      </rPr>
      <t xml:space="preserve">200</t>
    </r>
    <r>
      <rPr>
        <b val="true"/>
        <sz val="10"/>
        <rFont val="Noto Sans CJK SC"/>
        <family val="2"/>
      </rPr>
      <t xml:space="preserve">억 원 </t>
    </r>
    <r>
      <rPr>
        <b val="true"/>
        <sz val="10"/>
        <rFont val="맑은 고딕"/>
        <family val="0"/>
        <charset val="1"/>
      </rPr>
      <t xml:space="preserve">· ROI </t>
    </r>
    <r>
      <rPr>
        <b val="true"/>
        <sz val="10"/>
        <rFont val="Noto Sans CJK SC"/>
        <family val="2"/>
      </rPr>
      <t xml:space="preserve">약 </t>
    </r>
    <r>
      <rPr>
        <b val="true"/>
        <sz val="10"/>
        <rFont val="맑은 고딕"/>
        <family val="0"/>
        <charset val="1"/>
      </rPr>
      <t xml:space="preserve">57.5</t>
    </r>
    <r>
      <rPr>
        <b val="true"/>
        <sz val="10"/>
        <rFont val="Noto Sans CJK SC"/>
        <family val="2"/>
      </rPr>
      <t xml:space="preserve">배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투자 회수 약 </t>
    </r>
    <r>
      <rPr>
        <b val="true"/>
        <sz val="10"/>
        <rFont val="맑은 고딕"/>
        <family val="0"/>
        <charset val="1"/>
      </rPr>
      <t xml:space="preserve">6.3</t>
    </r>
    <r>
      <rPr>
        <b val="true"/>
        <sz val="10"/>
        <rFont val="Noto Sans CJK SC"/>
        <family val="2"/>
      </rPr>
      <t xml:space="preserve">일</t>
    </r>
  </si>
  <si>
    <t xml:space="preserve">시트</t>
  </si>
  <si>
    <t xml:space="preserve">추진일정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</si>
  <si>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개월 </t>
    </r>
    <r>
      <rPr>
        <sz val="10"/>
        <rFont val="맑은 고딕"/>
        <family val="0"/>
        <charset val="1"/>
      </rPr>
      <t xml:space="preserve">WBS</t>
    </r>
    <r>
      <rPr>
        <sz val="10"/>
        <rFont val="Noto Sans CJK SC"/>
        <family val="2"/>
      </rPr>
      <t xml:space="preserve">와 월별 진행 막대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단계별 통과 조건 포함</t>
    </r>
  </si>
  <si>
    <r>
      <rPr>
        <sz val="10"/>
        <rFont val="Noto Sans CJK SC"/>
        <family val="2"/>
      </rPr>
      <t xml:space="preserve">마일스톤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산출물</t>
    </r>
  </si>
  <si>
    <r>
      <rPr>
        <sz val="10"/>
        <rFont val="Noto Sans CJK SC"/>
        <family val="2"/>
      </rPr>
      <t xml:space="preserve">단계별 마일스톤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산출물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 방법</t>
    </r>
  </si>
  <si>
    <t xml:space="preserve">소요자원</t>
  </si>
  <si>
    <r>
      <rPr>
        <sz val="10"/>
        <rFont val="맑은 고딕"/>
        <family val="0"/>
        <charset val="1"/>
      </rPr>
      <t xml:space="preserve">GPU </t>
    </r>
    <r>
      <rPr>
        <sz val="10"/>
        <rFont val="Noto Sans CJK SC"/>
        <family val="2"/>
      </rPr>
      <t xml:space="preserve">수요등록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건 내역</t>
    </r>
    <r>
      <rPr>
        <sz val="10"/>
        <rFont val="맑은 고딕"/>
        <family val="0"/>
        <charset val="1"/>
      </rPr>
      <t xml:space="preserve">, VM 5</t>
    </r>
    <r>
      <rPr>
        <sz val="10"/>
        <rFont val="Noto Sans CJK SC"/>
        <family val="2"/>
      </rPr>
      <t xml:space="preserve">대 사양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스토리지</t>
    </r>
  </si>
  <si>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·ROI</t>
    </r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</si>
  <si>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기대효과 산정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가정 셀을 바꾸면 </t>
    </r>
    <r>
      <rPr>
        <sz val="10"/>
        <rFont val="맑은 고딕"/>
        <family val="0"/>
        <charset val="1"/>
      </rPr>
      <t xml:space="preserve">ROI</t>
    </r>
    <r>
      <rPr>
        <sz val="10"/>
        <rFont val="Noto Sans CJK SC"/>
        <family val="2"/>
      </rPr>
      <t xml:space="preserve">가 다시 계산된다</t>
    </r>
  </si>
  <si>
    <r>
      <rPr>
        <sz val="10"/>
        <rFont val="맑은 고딕"/>
        <family val="0"/>
        <charset val="1"/>
      </rPr>
      <t xml:space="preserve">KPI·</t>
    </r>
    <r>
      <rPr>
        <sz val="10"/>
        <rFont val="Noto Sans CJK SC"/>
        <family val="2"/>
      </rPr>
      <t xml:space="preserve">검증</t>
    </r>
  </si>
  <si>
    <r>
      <rPr>
        <sz val="10"/>
        <rFont val="Noto Sans CJK SC"/>
        <family val="2"/>
      </rPr>
      <t xml:space="preserve">정량 목표와 측정 방법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회귀 게이트 검증 항목</t>
    </r>
  </si>
  <si>
    <t xml:space="preserve">리스크관리</t>
  </si>
  <si>
    <r>
      <rPr>
        <sz val="10"/>
        <rFont val="Noto Sans CJK SC"/>
        <family val="2"/>
      </rPr>
      <t xml:space="preserve">리스크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영향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담당</t>
    </r>
  </si>
  <si>
    <t xml:space="preserve">역할분담</t>
  </si>
  <si>
    <r>
      <rPr>
        <sz val="10"/>
        <rFont val="Noto Sans CJK SC"/>
        <family val="2"/>
      </rPr>
      <t xml:space="preserve">현업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개발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인프라</t>
    </r>
    <r>
      <rPr>
        <sz val="10"/>
        <rFont val="맑은 고딕"/>
        <family val="0"/>
        <charset val="1"/>
      </rPr>
      <t xml:space="preserve">·IT / </t>
    </r>
    <r>
      <rPr>
        <sz val="10"/>
        <rFont val="Noto Sans CJK SC"/>
        <family val="2"/>
      </rPr>
      <t xml:space="preserve">거버넌스 </t>
    </r>
    <r>
      <rPr>
        <sz val="10"/>
        <rFont val="맑은 고딕"/>
        <family val="0"/>
        <charset val="1"/>
      </rPr>
      <t xml:space="preserve">RACI</t>
    </r>
  </si>
  <si>
    <r>
      <rPr>
        <i val="true"/>
        <sz val="9"/>
        <color rgb="FF595959"/>
        <rFont val="Noto Sans CJK SC"/>
        <family val="2"/>
      </rPr>
      <t xml:space="preserve">◇ 는 아직 확정되지 않아 채워 넣어야 하는 자리입니다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노란색 셀은 값을 바꾸면 아래 계산이 따라오는 입력 칸입니다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</si>
  <si>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5"/>
        <color rgb="FFFFFFFF"/>
        <rFont val="Noto Sans CJK SC"/>
        <family val="2"/>
      </rPr>
      <t xml:space="preserve">추진 일정 </t>
    </r>
    <r>
      <rPr>
        <b val="true"/>
        <sz val="15"/>
        <color rgb="FFFFFFFF"/>
        <rFont val="맑은 고딕"/>
        <family val="0"/>
        <charset val="1"/>
      </rPr>
      <t xml:space="preserve">(WBS) — 12</t>
    </r>
    <r>
      <rPr>
        <b val="true"/>
        <sz val="15"/>
        <color rgb="FFFFFFFF"/>
        <rFont val="Noto Sans CJK SC"/>
        <family val="2"/>
      </rPr>
      <t xml:space="preserve">개월</t>
    </r>
  </si>
  <si>
    <r>
      <rPr>
        <i val="true"/>
        <sz val="9.5"/>
        <color rgb="FF595959"/>
        <rFont val="맑은 고딕"/>
        <family val="0"/>
        <charset val="1"/>
      </rPr>
      <t xml:space="preserve">M1 = 2026-09 </t>
    </r>
    <r>
      <rPr>
        <i val="true"/>
        <sz val="9.5"/>
        <color rgb="FF595959"/>
        <rFont val="Noto Sans CJK SC"/>
        <family val="2"/>
      </rPr>
      <t xml:space="preserve">기준</t>
    </r>
    <r>
      <rPr>
        <i val="true"/>
        <sz val="9.5"/>
        <color rgb="FF595959"/>
        <rFont val="맑은 고딕"/>
        <family val="0"/>
        <charset val="1"/>
      </rPr>
      <t xml:space="preserve">. </t>
    </r>
    <r>
      <rPr>
        <i val="true"/>
        <sz val="9.5"/>
        <color rgb="FF595959"/>
        <rFont val="Noto Sans CJK SC"/>
        <family val="2"/>
      </rPr>
      <t xml:space="preserve">진한 칸이 주 수행 구간</t>
    </r>
    <r>
      <rPr>
        <i val="true"/>
        <sz val="9.5"/>
        <color rgb="FF595959"/>
        <rFont val="맑은 고딕"/>
        <family val="0"/>
        <charset val="1"/>
      </rPr>
      <t xml:space="preserve">, </t>
    </r>
    <r>
      <rPr>
        <i val="true"/>
        <sz val="9.5"/>
        <color rgb="FF595959"/>
        <rFont val="Noto Sans CJK SC"/>
        <family val="2"/>
      </rPr>
      <t xml:space="preserve">옅은 칸이 준비</t>
    </r>
    <r>
      <rPr>
        <i val="true"/>
        <sz val="9.5"/>
        <color rgb="FF595959"/>
        <rFont val="맑은 고딕"/>
        <family val="0"/>
        <charset val="1"/>
      </rPr>
      <t xml:space="preserve">·</t>
    </r>
    <r>
      <rPr>
        <i val="true"/>
        <sz val="9.5"/>
        <color rgb="FF595959"/>
        <rFont val="Noto Sans CJK SC"/>
        <family val="2"/>
      </rPr>
      <t xml:space="preserve">이월 구간입니다</t>
    </r>
    <r>
      <rPr>
        <i val="true"/>
        <sz val="9.5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</si>
  <si>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Noto Sans CJK SC"/>
        <family val="2"/>
      </rPr>
      <t xml:space="preserve">단계 </t>
    </r>
    <r>
      <rPr>
        <b val="true"/>
        <sz val="10"/>
        <color rgb="FF1F3864"/>
        <rFont val="맑은 고딕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작업</t>
    </r>
  </si>
  <si>
    <t xml:space="preserve">만드는 것</t>
  </si>
  <si>
    <t xml:space="preserve">통과 조건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</si>
  <si>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</si>
  <si>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</si>
  <si>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</si>
  <si>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</si>
  <si>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</si>
  <si>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</si>
  <si>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</si>
  <si>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</si>
  <si>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</si>
  <si>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</si>
  <si>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</si>
  <si>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</si>
  <si>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r>
      <rPr>
        <b val="true"/>
        <sz val="10"/>
        <rFont val="맑은 고딕"/>
        <family val="0"/>
        <charset val="1"/>
      </rPr>
      <t xml:space="preserve">Phase 0  </t>
    </r>
    <r>
      <rPr>
        <b val="true"/>
        <sz val="10"/>
        <rFont val="Noto Sans CJK SC"/>
        <family val="2"/>
      </rPr>
      <t xml:space="preserve">뼈대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그림자 운영</t>
    </r>
  </si>
  <si>
    <r>
      <rPr>
        <b val="true"/>
        <sz val="10"/>
        <rFont val="Noto Sans CJK SC"/>
        <family val="2"/>
      </rPr>
      <t xml:space="preserve">그래프 골격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조회 도구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검증기</t>
    </r>
  </si>
  <si>
    <r>
      <rPr>
        <b val="true"/>
        <sz val="10"/>
        <rFont val="Noto Sans CJK SC"/>
        <family val="2"/>
      </rPr>
      <t xml:space="preserve">골든셋 </t>
    </r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Noto Sans CJK SC"/>
        <family val="2"/>
      </rPr>
      <t xml:space="preserve">건 일치율 기준선 실측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조치 미실행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</si>
  <si>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 환경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접근 준비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정보계 계정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</si>
  <si>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조회 전용 계정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전용 뷰</t>
    </r>
  </si>
  <si>
    <r>
      <rPr>
        <sz val="10"/>
        <rFont val="맑은 고딕"/>
        <family val="0"/>
        <charset val="1"/>
      </rPr>
      <t xml:space="preserve">UPDATE </t>
    </r>
    <r>
      <rPr>
        <sz val="10"/>
        <rFont val="Noto Sans CJK SC"/>
        <family val="2"/>
      </rPr>
      <t xml:space="preserve">시도 시 권한 거부 확인</t>
    </r>
  </si>
  <si>
    <t xml:space="preserve">    조사 코어 그래프 골격</t>
  </si>
  <si>
    <t xml:space="preserve">adapter→investigator→judgment→action</t>
  </si>
  <si>
    <r>
      <rPr>
        <sz val="10"/>
        <rFont val="Noto Sans CJK SC"/>
        <family val="2"/>
      </rPr>
      <t xml:space="preserve">골든셋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건 </t>
    </r>
    <r>
      <rPr>
        <sz val="10"/>
        <rFont val="맑은 고딕"/>
        <family val="0"/>
        <charset val="1"/>
      </rPr>
      <t xml:space="preserve">end-to-end </t>
    </r>
    <r>
      <rPr>
        <sz val="10"/>
        <rFont val="Noto Sans CJK SC"/>
        <family val="2"/>
      </rPr>
      <t xml:space="preserve">통과</t>
    </r>
  </si>
  <si>
    <r>
      <rPr>
        <sz val="10"/>
        <rFont val="Noto Sans CJK SC"/>
        <family val="2"/>
      </rPr>
      <t xml:space="preserve">    도구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종 연결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조회부터</t>
    </r>
    <r>
      <rPr>
        <sz val="10"/>
        <rFont val="맑은 고딕"/>
        <family val="0"/>
        <charset val="1"/>
      </rPr>
      <t xml:space="preserve">)</t>
    </r>
  </si>
  <si>
    <t xml:space="preserve">SQL 5 · vision 2 · RAG 1</t>
  </si>
  <si>
    <t xml:space="preserve">도구별 단위테스트 통과</t>
  </si>
  <si>
    <r>
      <rPr>
        <sz val="10"/>
        <rFont val="Noto Sans CJK SC"/>
        <family val="2"/>
      </rPr>
      <t xml:space="preserve">    그라운딩 검증기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칙</t>
    </r>
  </si>
  <si>
    <r>
      <rPr>
        <sz val="10"/>
        <rFont val="Noto Sans CJK SC"/>
        <family val="2"/>
      </rPr>
      <t xml:space="preserve">스키마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근거실재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사실대조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신뢰도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공백금지</t>
    </r>
  </si>
  <si>
    <r>
      <rPr>
        <sz val="10"/>
        <rFont val="Noto Sans CJK SC"/>
        <family val="2"/>
      </rPr>
      <t xml:space="preserve">날조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왜곡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과장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종 차단 재현</t>
    </r>
  </si>
  <si>
    <r>
      <rPr>
        <sz val="10"/>
        <rFont val="Noto Sans CJK SC"/>
        <family val="2"/>
      </rPr>
      <t xml:space="preserve">    골든셋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건 →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건 확장</t>
    </r>
  </si>
  <si>
    <r>
      <rPr>
        <sz val="10"/>
        <rFont val="Noto Sans CJK SC"/>
        <family val="2"/>
      </rPr>
      <t xml:space="preserve">정답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금지조치 포함</t>
    </r>
  </si>
  <si>
    <t xml:space="preserve">회귀 러너 전건 실행</t>
  </si>
  <si>
    <t xml:space="preserve">    그림자 운영</t>
  </si>
  <si>
    <r>
      <rPr>
        <sz val="10"/>
        <rFont val="Noto Sans CJK SC"/>
        <family val="2"/>
      </rPr>
      <t xml:space="preserve">판단만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조치 미실행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</si>
  <si>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 엔지니어 일치율 기준선</t>
    </r>
  </si>
  <si>
    <r>
      <rPr>
        <b val="true"/>
        <sz val="10"/>
        <rFont val="맑은 고딕"/>
        <family val="0"/>
        <charset val="1"/>
      </rPr>
      <t xml:space="preserve">Phase 1  Chat </t>
    </r>
    <r>
      <rPr>
        <b val="true"/>
        <sz val="10"/>
        <rFont val="Noto Sans CJK SC"/>
        <family val="2"/>
      </rPr>
      <t xml:space="preserve">파일럿</t>
    </r>
  </si>
  <si>
    <r>
      <rPr>
        <b val="true"/>
        <sz val="10"/>
        <rFont val="Noto Sans CJK SC"/>
        <family val="2"/>
      </rPr>
      <t xml:space="preserve">포토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개 공정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모든 조치 승인 필수</t>
    </r>
  </si>
  <si>
    <r>
      <rPr>
        <b val="true"/>
        <sz val="10"/>
        <rFont val="Noto Sans CJK SC"/>
        <family val="2"/>
      </rPr>
      <t xml:space="preserve">파일럿 엔지니어 실사용</t>
    </r>
    <r>
      <rPr>
        <b val="true"/>
        <sz val="10"/>
        <rFont val="맑은 고딕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반려율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재사용률 측정</t>
    </r>
  </si>
  <si>
    <r>
      <rPr>
        <sz val="10"/>
        <rFont val="맑은 고딕"/>
        <family val="0"/>
        <charset val="1"/>
      </rPr>
      <t xml:space="preserve">    Chat UI + </t>
    </r>
    <r>
      <rPr>
        <sz val="10"/>
        <rFont val="Noto Sans CJK SC"/>
        <family val="2"/>
      </rPr>
      <t xml:space="preserve">근거 패널</t>
    </r>
  </si>
  <si>
    <r>
      <rPr>
        <sz val="10"/>
        <rFont val="Noto Sans CJK SC"/>
        <family val="2"/>
      </rPr>
      <t xml:space="preserve">스트리밍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진행 단계 표시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근거 링크</t>
    </r>
  </si>
  <si>
    <t xml:space="preserve">파일럿 엔지니어 사용성 확인</t>
  </si>
  <si>
    <r>
      <rPr>
        <sz val="10"/>
        <rFont val="Noto Sans CJK SC"/>
        <family val="2"/>
      </rPr>
      <t xml:space="preserve">    조치 실행기 </t>
    </r>
    <r>
      <rPr>
        <sz val="10"/>
        <rFont val="맑은 고딕"/>
        <family val="0"/>
        <charset val="1"/>
      </rPr>
      <t xml:space="preserve">dry-run</t>
    </r>
  </si>
  <si>
    <r>
      <rPr>
        <sz val="10"/>
        <rFont val="Noto Sans CJK SC"/>
        <family val="2"/>
      </rPr>
      <t xml:space="preserve">실제 반영 없이 </t>
    </r>
    <r>
      <rPr>
        <sz val="10"/>
        <rFont val="맑은 고딕"/>
        <family val="0"/>
        <charset val="1"/>
      </rPr>
      <t xml:space="preserve">SQL </t>
    </r>
    <r>
      <rPr>
        <sz val="10"/>
        <rFont val="Noto Sans CJK SC"/>
        <family val="2"/>
      </rPr>
      <t xml:space="preserve">로깅</t>
    </r>
  </si>
  <si>
    <r>
      <rPr>
        <sz val="10"/>
        <rFont val="Noto Sans CJK SC"/>
        <family val="2"/>
      </rPr>
      <t xml:space="preserve">변경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건 확인</t>
    </r>
  </si>
  <si>
    <r>
      <rPr>
        <sz val="10"/>
        <rFont val="Noto Sans CJK SC"/>
        <family val="2"/>
      </rPr>
      <t xml:space="preserve">    승인 게이트 </t>
    </r>
    <r>
      <rPr>
        <sz val="10"/>
        <rFont val="맑은 고딕"/>
        <family val="0"/>
        <charset val="1"/>
      </rPr>
      <t xml:space="preserve">(HITL)</t>
    </r>
  </si>
  <si>
    <r>
      <rPr>
        <sz val="10"/>
        <rFont val="맑은 고딕"/>
        <family val="0"/>
        <charset val="1"/>
      </rPr>
      <t xml:space="preserve">L2</t>
    </r>
    <r>
      <rPr>
        <sz val="10"/>
        <rFont val="Noto Sans CJK SC"/>
        <family val="2"/>
      </rPr>
      <t xml:space="preserve">는 승인 없으면 실행 거부</t>
    </r>
  </si>
  <si>
    <r>
      <rPr>
        <sz val="10"/>
        <rFont val="Noto Sans CJK SC"/>
        <family val="2"/>
      </rPr>
      <t xml:space="preserve">미승인 실행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</si>
  <si>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sz val="10"/>
        <rFont val="맑은 고딕"/>
        <family val="0"/>
        <charset val="1"/>
      </rPr>
      <t xml:space="preserve">    Inform Note </t>
    </r>
    <r>
      <rPr>
        <sz val="10"/>
        <rFont val="Noto Sans CJK SC"/>
        <family val="2"/>
      </rPr>
      <t xml:space="preserve">적재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등록 워크플로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</si>
  <si>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초안 → 엔지니어 확정 → 적재</t>
    </r>
  </si>
  <si>
    <t xml:space="preserve">등록 건수 누적 확인</t>
  </si>
  <si>
    <t xml:space="preserve">    검색 품질 개선</t>
  </si>
  <si>
    <r>
      <rPr>
        <sz val="10"/>
        <rFont val="Noto Sans CJK SC"/>
        <family val="2"/>
      </rPr>
      <t xml:space="preserve">질의 재작성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리랭커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용어 사전</t>
    </r>
  </si>
  <si>
    <r>
      <rPr>
        <sz val="10"/>
        <rFont val="맑은 고딕"/>
        <family val="0"/>
        <charset val="1"/>
      </rPr>
      <t xml:space="preserve">recall@10 </t>
    </r>
    <r>
      <rPr>
        <sz val="10"/>
        <rFont val="Noto Sans CJK SC"/>
        <family val="2"/>
      </rPr>
      <t xml:space="preserve">직전값 대비 상승</t>
    </r>
  </si>
  <si>
    <r>
      <rPr>
        <b val="true"/>
        <sz val="10"/>
        <rFont val="맑은 고딕"/>
        <family val="0"/>
        <charset val="1"/>
      </rPr>
      <t xml:space="preserve">Phase 2  </t>
    </r>
    <r>
      <rPr>
        <b val="true"/>
        <sz val="10"/>
        <rFont val="Noto Sans CJK SC"/>
        <family val="2"/>
      </rPr>
      <t xml:space="preserve">무인 접수</t>
    </r>
  </si>
  <si>
    <r>
      <rPr>
        <b val="true"/>
        <sz val="10"/>
        <rFont val="맑은 고딕"/>
        <family val="0"/>
        <charset val="1"/>
      </rPr>
      <t xml:space="preserve">Event-to-Question Adapter, </t>
    </r>
    <r>
      <rPr>
        <b val="true"/>
        <sz val="10"/>
        <rFont val="Noto Sans CJK SC"/>
        <family val="2"/>
      </rPr>
      <t xml:space="preserve">알림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교대 브리핑</t>
    </r>
  </si>
  <si>
    <r>
      <rPr>
        <b val="true"/>
        <sz val="10"/>
        <rFont val="Noto Sans CJK SC"/>
        <family val="2"/>
      </rPr>
      <t xml:space="preserve">야간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주말 이벤트 처리 누락 </t>
    </r>
    <r>
      <rPr>
        <b val="true"/>
        <sz val="10"/>
        <rFont val="맑은 고딕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건</t>
    </r>
  </si>
  <si>
    <t xml:space="preserve">    Event-to-Question Adapter</t>
  </si>
  <si>
    <r>
      <rPr>
        <sz val="10"/>
        <rFont val="Noto Sans CJK SC"/>
        <family val="2"/>
      </rPr>
      <t xml:space="preserve">이벤트 정규화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중복 제거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그룹핑</t>
    </r>
  </si>
  <si>
    <t xml:space="preserve">알림 폭주 없이 접수</t>
  </si>
  <si>
    <r>
      <rPr>
        <sz val="10"/>
        <rFont val="Noto Sans CJK SC"/>
        <family val="2"/>
      </rPr>
      <t xml:space="preserve">    알림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교대 브리핑 자동화</t>
    </r>
  </si>
  <si>
    <r>
      <rPr>
        <sz val="10"/>
        <rFont val="Noto Sans CJK SC"/>
        <family val="2"/>
      </rPr>
      <t xml:space="preserve">메신저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메일 발행</t>
    </r>
  </si>
  <si>
    <t xml:space="preserve">수신자 유용성 평가</t>
  </si>
  <si>
    <r>
      <rPr>
        <sz val="10"/>
        <rFont val="Noto Sans CJK SC"/>
        <family val="2"/>
      </rPr>
      <t xml:space="preserve">    무인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주 연속 운영</t>
    </r>
  </si>
  <si>
    <r>
      <rPr>
        <sz val="10"/>
        <rFont val="맑은 고딕"/>
        <family val="0"/>
        <charset val="1"/>
      </rPr>
      <t xml:space="preserve">24/7 </t>
    </r>
    <r>
      <rPr>
        <sz val="10"/>
        <rFont val="Noto Sans CJK SC"/>
        <family val="2"/>
      </rPr>
      <t xml:space="preserve">접수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조치는 승인 대기</t>
    </r>
  </si>
  <si>
    <r>
      <rPr>
        <sz val="10"/>
        <rFont val="Noto Sans CJK SC"/>
        <family val="2"/>
      </rPr>
      <t xml:space="preserve">이벤트 처리 누락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</si>
  <si>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b val="true"/>
        <sz val="10"/>
        <rFont val="맑은 고딕"/>
        <family val="0"/>
        <charset val="1"/>
      </rPr>
      <t xml:space="preserve">Phase 3  </t>
    </r>
    <r>
      <rPr>
        <b val="true"/>
        <sz val="10"/>
        <rFont val="Noto Sans CJK SC"/>
        <family val="2"/>
      </rPr>
      <t xml:space="preserve">저위험 자동조치</t>
    </r>
  </si>
  <si>
    <t xml:space="preserve">되돌릴 수 있는 조치부터 자동화</t>
  </si>
  <si>
    <r>
      <rPr>
        <b val="true"/>
        <sz val="10"/>
        <rFont val="Noto Sans CJK SC"/>
        <family val="2"/>
      </rPr>
      <t xml:space="preserve">자동 실행 로그 전건 감사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오판율 측정</t>
    </r>
  </si>
  <si>
    <t xml:space="preserve">    저위험 자동조치 화이트리스트</t>
  </si>
  <si>
    <r>
      <rPr>
        <sz val="10"/>
        <rFont val="Noto Sans CJK SC"/>
        <family val="2"/>
      </rPr>
      <t xml:space="preserve">재계측 오더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알림 등 되돌릴 수 있는 것</t>
    </r>
  </si>
  <si>
    <t xml:space="preserve">시나리오별 정확도 실측 근거</t>
  </si>
  <si>
    <t xml:space="preserve">    감사 로그 대시보드</t>
  </si>
  <si>
    <r>
      <rPr>
        <sz val="10"/>
        <rFont val="Noto Sans CJK SC"/>
        <family val="2"/>
      </rPr>
      <t xml:space="preserve">누가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언제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무엇을 승인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조치했나</t>
    </r>
  </si>
  <si>
    <t xml:space="preserve">전건 추적 가능</t>
  </si>
  <si>
    <r>
      <rPr>
        <sz val="10"/>
        <rFont val="맑은 고딕"/>
        <family val="0"/>
        <charset val="1"/>
      </rPr>
      <t xml:space="preserve">    L3 </t>
    </r>
    <r>
      <rPr>
        <sz val="10"/>
        <rFont val="Noto Sans CJK SC"/>
        <family val="2"/>
      </rPr>
      <t xml:space="preserve">승격 심의 프로세스</t>
    </r>
  </si>
  <si>
    <t xml:space="preserve">시나리오 단위 개별 심의</t>
  </si>
  <si>
    <t xml:space="preserve">승격 기준 문서화</t>
  </si>
  <si>
    <r>
      <rPr>
        <b val="true"/>
        <sz val="10"/>
        <rFont val="맑은 고딕"/>
        <family val="0"/>
        <charset val="1"/>
      </rPr>
      <t xml:space="preserve">Phase 4  </t>
    </r>
    <r>
      <rPr>
        <b val="true"/>
        <sz val="10"/>
        <rFont val="Noto Sans CJK SC"/>
        <family val="2"/>
      </rPr>
      <t xml:space="preserve">확산</t>
    </r>
  </si>
  <si>
    <r>
      <rPr>
        <b val="true"/>
        <sz val="10"/>
        <rFont val="맑은 고딕"/>
        <family val="0"/>
        <charset val="1"/>
      </rPr>
      <t xml:space="preserve">etch·CMP </t>
    </r>
    <r>
      <rPr>
        <b val="true"/>
        <sz val="10"/>
        <rFont val="Noto Sans CJK SC"/>
        <family val="2"/>
      </rPr>
      <t xml:space="preserve">확산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코어 그대로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조사규칙만 추가</t>
    </r>
    <r>
      <rPr>
        <b val="true"/>
        <sz val="10"/>
        <rFont val="맑은 고딕"/>
        <family val="0"/>
        <charset val="1"/>
      </rPr>
      <t xml:space="preserve">)</t>
    </r>
  </si>
  <si>
    <t xml:space="preserve">신규 공정 골든셋 회귀 통과</t>
  </si>
  <si>
    <r>
      <rPr>
        <sz val="10"/>
        <rFont val="맑은 고딕"/>
        <family val="0"/>
        <charset val="1"/>
      </rPr>
      <t xml:space="preserve">    etch·CMP </t>
    </r>
    <r>
      <rPr>
        <sz val="10"/>
        <rFont val="Noto Sans CJK SC"/>
        <family val="2"/>
      </rPr>
      <t xml:space="preserve">조사규칙 추가</t>
    </r>
  </si>
  <si>
    <r>
      <rPr>
        <sz val="10"/>
        <rFont val="Noto Sans CJK SC"/>
        <family val="2"/>
      </rPr>
      <t xml:space="preserve">공정별 규칙 문서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코어 변경 없음</t>
    </r>
    <r>
      <rPr>
        <sz val="10"/>
        <rFont val="맑은 고딕"/>
        <family val="0"/>
        <charset val="1"/>
      </rPr>
      <t xml:space="preserve">)</t>
    </r>
  </si>
  <si>
    <t xml:space="preserve">신규 공정 골든셋 구축</t>
  </si>
  <si>
    <t xml:space="preserve">    신규 공정 회귀</t>
  </si>
  <si>
    <t xml:space="preserve">골든셋 회귀 러너</t>
  </si>
  <si>
    <t xml:space="preserve">회귀 통과</t>
  </si>
  <si>
    <r>
      <rPr>
        <b val="true"/>
        <sz val="10"/>
        <rFont val="Noto Sans CJK SC"/>
        <family val="2"/>
      </rPr>
      <t xml:space="preserve">상시 안전망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전 단계 관통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</si>
  <si>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프롬프트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모델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색인 변경 시마다 통과 필수</t>
    </r>
    <r>
      <rPr>
        <b val="true"/>
        <sz val="10"/>
        <rFont val="맑은 고딕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금지 조치 접촉 시 즉시 실패</t>
    </r>
  </si>
  <si>
    <r>
      <rPr>
        <i val="true"/>
        <sz val="9"/>
        <color rgb="FF595959"/>
        <rFont val="Noto Sans CJK SC"/>
        <family val="2"/>
      </rPr>
      <t xml:space="preserve">일정은 제안값입니다</t>
    </r>
    <r>
      <rPr>
        <i val="true"/>
        <sz val="9"/>
        <color rgb="FF595959"/>
        <rFont val="맑은 고딕"/>
        <family val="0"/>
        <charset val="1"/>
      </rPr>
      <t xml:space="preserve">. GPU </t>
    </r>
    <r>
      <rPr>
        <i val="true"/>
        <sz val="9"/>
        <color rgb="FF595959"/>
        <rFont val="Noto Sans CJK SC"/>
        <family val="2"/>
      </rPr>
      <t xml:space="preserve">반입 일정이 확정되면 </t>
    </r>
    <r>
      <rPr>
        <i val="true"/>
        <sz val="9"/>
        <color rgb="FF595959"/>
        <rFont val="맑은 고딕"/>
        <family val="0"/>
        <charset val="1"/>
      </rPr>
      <t xml:space="preserve">Phase 0 </t>
    </r>
    <r>
      <rPr>
        <i val="true"/>
        <sz val="9"/>
        <color rgb="FF595959"/>
        <rFont val="Noto Sans CJK SC"/>
        <family val="2"/>
      </rPr>
      <t xml:space="preserve">착수일을 그에 맞춰 조정합니다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남은 확인 사항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번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</si>
  <si>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5"/>
        <color rgb="FFFFFFFF"/>
        <rFont val="Noto Sans CJK SC"/>
        <family val="2"/>
      </rPr>
      <t xml:space="preserve">마일스톤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산출물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확인 방법</t>
    </r>
  </si>
  <si>
    <r>
      <rPr>
        <i val="true"/>
        <sz val="9.5"/>
        <color rgb="FF595959"/>
        <rFont val="Noto Sans CJK SC"/>
        <family val="2"/>
      </rPr>
      <t xml:space="preserve">각 마일스톤은 </t>
    </r>
    <r>
      <rPr>
        <i val="true"/>
        <sz val="9.5"/>
        <color rgb="FF595959"/>
        <rFont val="맑은 고딕"/>
        <family val="0"/>
        <charset val="1"/>
      </rPr>
      <t xml:space="preserve">'</t>
    </r>
    <r>
      <rPr>
        <i val="true"/>
        <sz val="9.5"/>
        <color rgb="FF595959"/>
        <rFont val="Noto Sans CJK SC"/>
        <family val="2"/>
      </rPr>
      <t xml:space="preserve">무엇을 만들었다</t>
    </r>
    <r>
      <rPr>
        <i val="true"/>
        <sz val="9.5"/>
        <color rgb="FF595959"/>
        <rFont val="맑은 고딕"/>
        <family val="0"/>
        <charset val="1"/>
      </rPr>
      <t xml:space="preserve">'</t>
    </r>
    <r>
      <rPr>
        <i val="true"/>
        <sz val="9.5"/>
        <color rgb="FF595959"/>
        <rFont val="Noto Sans CJK SC"/>
        <family val="2"/>
      </rPr>
      <t xml:space="preserve">가 아니라 </t>
    </r>
    <r>
      <rPr>
        <i val="true"/>
        <sz val="9.5"/>
        <color rgb="FF595959"/>
        <rFont val="맑은 고딕"/>
        <family val="0"/>
        <charset val="1"/>
      </rPr>
      <t xml:space="preserve">'</t>
    </r>
    <r>
      <rPr>
        <i val="true"/>
        <sz val="9.5"/>
        <color rgb="FF595959"/>
        <rFont val="Noto Sans CJK SC"/>
        <family val="2"/>
      </rPr>
      <t xml:space="preserve">무엇으로 확인했다</t>
    </r>
    <r>
      <rPr>
        <i val="true"/>
        <sz val="9.5"/>
        <color rgb="FF595959"/>
        <rFont val="맑은 고딕"/>
        <family val="0"/>
        <charset val="1"/>
      </rPr>
      <t xml:space="preserve">'</t>
    </r>
    <r>
      <rPr>
        <i val="true"/>
        <sz val="9.5"/>
        <color rgb="FF595959"/>
        <rFont val="Noto Sans CJK SC"/>
        <family val="2"/>
      </rPr>
      <t xml:space="preserve">로 닫습니다</t>
    </r>
    <r>
      <rPr>
        <i val="true"/>
        <sz val="9.5"/>
        <color rgb="FF595959"/>
        <rFont val="맑은 고딕"/>
        <family val="0"/>
        <charset val="1"/>
      </rPr>
      <t xml:space="preserve">.</t>
    </r>
  </si>
  <si>
    <t xml:space="preserve">시점</t>
  </si>
  <si>
    <t xml:space="preserve">마일스톤</t>
  </si>
  <si>
    <t xml:space="preserve">산출물</t>
  </si>
  <si>
    <t xml:space="preserve">확인 방법</t>
  </si>
  <si>
    <t xml:space="preserve">통과 못하면</t>
  </si>
  <si>
    <t xml:space="preserve">그림자 운영 개시</t>
  </si>
  <si>
    <r>
      <rPr>
        <sz val="10"/>
        <rFont val="Noto Sans CJK SC"/>
        <family val="2"/>
      </rPr>
      <t xml:space="preserve">조사 코어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도구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검증기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골든셋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</si>
  <si>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골든셋 회귀 러너 전건 실행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일치율 기준선 기록</t>
    </r>
  </si>
  <si>
    <r>
      <rPr>
        <sz val="10"/>
        <rFont val="맑은 고딕"/>
        <family val="0"/>
        <charset val="1"/>
      </rPr>
      <t xml:space="preserve">Phase 1 </t>
    </r>
    <r>
      <rPr>
        <sz val="10"/>
        <rFont val="Noto Sans CJK SC"/>
        <family val="2"/>
      </rPr>
      <t xml:space="preserve">착수 보류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규칙 보강</t>
    </r>
  </si>
  <si>
    <r>
      <rPr>
        <sz val="10"/>
        <rFont val="맑은 고딕"/>
        <family val="0"/>
        <charset val="1"/>
      </rPr>
      <t xml:space="preserve">Chat </t>
    </r>
    <r>
      <rPr>
        <sz val="10"/>
        <rFont val="Noto Sans CJK SC"/>
        <family val="2"/>
      </rPr>
      <t xml:space="preserve">파일럿 종료</t>
    </r>
  </si>
  <si>
    <r>
      <rPr>
        <sz val="10"/>
        <rFont val="맑은 고딕"/>
        <family val="0"/>
        <charset val="1"/>
      </rPr>
      <t xml:space="preserve">Chat UI, </t>
    </r>
    <r>
      <rPr>
        <sz val="10"/>
        <rFont val="Noto Sans CJK SC"/>
        <family val="2"/>
      </rPr>
      <t xml:space="preserve">승인 게이트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등록 워크플로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검색 개선분</t>
    </r>
  </si>
  <si>
    <r>
      <rPr>
        <sz val="10"/>
        <rFont val="Noto Sans CJK SC"/>
        <family val="2"/>
      </rPr>
      <t xml:space="preserve">파일럿 엔지니어 실사용 로그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반려율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재사용률</t>
    </r>
  </si>
  <si>
    <t xml:space="preserve">적용 공정 축소 후 재파일럿</t>
  </si>
  <si>
    <t xml:space="preserve">무인 접수 안정화</t>
  </si>
  <si>
    <r>
      <rPr>
        <sz val="10"/>
        <rFont val="맑은 고딕"/>
        <family val="0"/>
        <charset val="1"/>
      </rPr>
      <t xml:space="preserve">Event-to-Question Adapter, </t>
    </r>
    <r>
      <rPr>
        <sz val="10"/>
        <rFont val="Noto Sans CJK SC"/>
        <family val="2"/>
      </rPr>
      <t xml:space="preserve">알림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브리핑</t>
    </r>
  </si>
  <si>
    <r>
      <rPr>
        <sz val="10"/>
        <rFont val="Noto Sans CJK SC"/>
        <family val="2"/>
      </rPr>
      <t xml:space="preserve">무인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주 연속 운영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이벤트 처리 누락 건수</t>
    </r>
  </si>
  <si>
    <t xml:space="preserve">어댑터 그룹핑 로직 보강 후 재운영</t>
  </si>
  <si>
    <t xml:space="preserve">저위험 자동조치 개방</t>
  </si>
  <si>
    <r>
      <rPr>
        <sz val="10"/>
        <rFont val="Noto Sans CJK SC"/>
        <family val="2"/>
      </rPr>
      <t xml:space="preserve">자동조치 화이트리스트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감사 대시보드</t>
    </r>
  </si>
  <si>
    <r>
      <rPr>
        <sz val="10"/>
        <rFont val="Noto Sans CJK SC"/>
        <family val="2"/>
      </rPr>
      <t xml:space="preserve">자동 실행 로그 전건 감사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오판율</t>
    </r>
  </si>
  <si>
    <r>
      <rPr>
        <sz val="10"/>
        <rFont val="Noto Sans CJK SC"/>
        <family val="2"/>
      </rPr>
      <t xml:space="preserve">자동 범위 축소</t>
    </r>
    <r>
      <rPr>
        <sz val="10"/>
        <rFont val="맑은 고딕"/>
        <family val="0"/>
        <charset val="1"/>
      </rPr>
      <t xml:space="preserve">, L2</t>
    </r>
    <r>
      <rPr>
        <sz val="10"/>
        <rFont val="Noto Sans CJK SC"/>
        <family val="2"/>
      </rPr>
      <t xml:space="preserve">로 복귀</t>
    </r>
  </si>
  <si>
    <t xml:space="preserve">확산 및 과제 종료</t>
  </si>
  <si>
    <r>
      <rPr>
        <sz val="10"/>
        <rFont val="맑은 고딕"/>
        <family val="0"/>
        <charset val="1"/>
      </rPr>
      <t xml:space="preserve">etch·CMP </t>
    </r>
    <r>
      <rPr>
        <sz val="10"/>
        <rFont val="Noto Sans CJK SC"/>
        <family val="2"/>
      </rPr>
      <t xml:space="preserve">조사규칙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신규 공정 골든셋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최종 보고</t>
    </r>
  </si>
  <si>
    <r>
      <rPr>
        <sz val="10"/>
        <rFont val="Noto Sans CJK SC"/>
        <family val="2"/>
      </rPr>
      <t xml:space="preserve">신규 공정 회귀 통과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효과 실측 보고</t>
    </r>
  </si>
  <si>
    <t xml:space="preserve">확산 범위 조정 후 차기 과제 이관</t>
  </si>
  <si>
    <t xml:space="preserve">상시 산출물</t>
  </si>
  <si>
    <t xml:space="preserve">주기</t>
  </si>
  <si>
    <t xml:space="preserve">받는 사람</t>
  </si>
  <si>
    <t xml:space="preserve">비고</t>
  </si>
  <si>
    <t xml:space="preserve">운영</t>
  </si>
  <si>
    <r>
      <rPr>
        <sz val="10"/>
        <rFont val="Noto Sans CJK SC"/>
        <family val="2"/>
      </rPr>
      <t xml:space="preserve">월간 리포트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건당 처리시간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처리 건수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승인율</t>
    </r>
    <r>
      <rPr>
        <sz val="10"/>
        <rFont val="맑은 고딕"/>
        <family val="0"/>
        <charset val="1"/>
      </rPr>
      <t xml:space="preserve">, GPU </t>
    </r>
    <r>
      <rPr>
        <sz val="10"/>
        <rFont val="Noto Sans CJK SC"/>
        <family val="2"/>
      </rPr>
      <t xml:space="preserve">가동률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</si>
  <si>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</si>
  <si>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과제 심의 주관 ◇</t>
  </si>
  <si>
    <t xml:space="preserve">가동 후부터</t>
  </si>
  <si>
    <t xml:space="preserve">품질</t>
  </si>
  <si>
    <r>
      <rPr>
        <sz val="10"/>
        <rFont val="Noto Sans CJK SC"/>
        <family val="2"/>
      </rPr>
      <t xml:space="preserve">골든셋 회귀 결과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판단 정확도</t>
    </r>
    <r>
      <rPr>
        <sz val="10"/>
        <rFont val="맑은 고딕"/>
        <family val="0"/>
        <charset val="1"/>
      </rPr>
      <t xml:space="preserve">, recall@10)</t>
    </r>
  </si>
  <si>
    <t xml:space="preserve">변경 시마다</t>
  </si>
  <si>
    <r>
      <rPr>
        <sz val="10"/>
        <rFont val="Noto Sans CJK SC"/>
        <family val="2"/>
      </rPr>
      <t xml:space="preserve">개발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현업</t>
    </r>
  </si>
  <si>
    <t xml:space="preserve">통과 못하면 배포 중지</t>
  </si>
  <si>
    <t xml:space="preserve">감사</t>
  </si>
  <si>
    <r>
      <rPr>
        <sz val="10"/>
        <rFont val="Noto Sans CJK SC"/>
        <family val="2"/>
      </rPr>
      <t xml:space="preserve">조치 실행 로그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누가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언제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무엇을 승인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</si>
  <si>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상시 기록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분기 리뷰</t>
    </r>
  </si>
  <si>
    <t xml:space="preserve">거버넌스 ◇</t>
  </si>
  <si>
    <t xml:space="preserve">영구 보존</t>
  </si>
  <si>
    <t xml:space="preserve">효과</t>
  </si>
  <si>
    <r>
      <rPr>
        <sz val="10"/>
        <rFont val="Noto Sans CJK SC"/>
        <family val="2"/>
      </rPr>
      <t xml:space="preserve">효과 실측 보고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산정치 대비 차이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</si>
  <si>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분기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</si>
  <si>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r>
      <rPr>
        <sz val="10"/>
        <rFont val="맑은 고딕"/>
        <family val="0"/>
        <charset val="1"/>
      </rPr>
      <t xml:space="preserve">ROI </t>
    </r>
    <r>
      <rPr>
        <sz val="10"/>
        <rFont val="Noto Sans CJK SC"/>
        <family val="2"/>
      </rPr>
      <t xml:space="preserve">검증</t>
    </r>
  </si>
  <si>
    <r>
      <rPr>
        <b val="true"/>
        <sz val="15"/>
        <color rgb="FFFFFFFF"/>
        <rFont val="Noto Sans CJK SC"/>
        <family val="2"/>
      </rPr>
      <t xml:space="preserve">소요 자원 — </t>
    </r>
    <r>
      <rPr>
        <b val="true"/>
        <sz val="15"/>
        <color rgb="FFFFFFFF"/>
        <rFont val="맑은 고딕"/>
        <family val="0"/>
        <charset val="1"/>
      </rPr>
      <t xml:space="preserve">GPU · VM · </t>
    </r>
    <r>
      <rPr>
        <b val="true"/>
        <sz val="15"/>
        <color rgb="FFFFFFFF"/>
        <rFont val="Noto Sans CJK SC"/>
        <family val="2"/>
      </rPr>
      <t xml:space="preserve">스토리지</t>
    </r>
  </si>
  <si>
    <r>
      <rPr>
        <i val="true"/>
        <sz val="9.5"/>
        <color rgb="FF595959"/>
        <rFont val="맑은 고딕"/>
        <family val="0"/>
        <charset val="1"/>
      </rPr>
      <t xml:space="preserve">GPU</t>
    </r>
    <r>
      <rPr>
        <i val="true"/>
        <sz val="9.5"/>
        <color rgb="FF595959"/>
        <rFont val="Noto Sans CJK SC"/>
        <family val="2"/>
      </rPr>
      <t xml:space="preserve">는 사내 수요등록 시스템 산출값</t>
    </r>
    <r>
      <rPr>
        <i val="true"/>
        <sz val="9.5"/>
        <color rgb="FF595959"/>
        <rFont val="맑은 고딕"/>
        <family val="0"/>
        <charset val="1"/>
      </rPr>
      <t xml:space="preserve">, VM·</t>
    </r>
    <r>
      <rPr>
        <i val="true"/>
        <sz val="9.5"/>
        <color rgb="FF595959"/>
        <rFont val="Noto Sans CJK SC"/>
        <family val="2"/>
      </rPr>
      <t xml:space="preserve">스토리지는 신청 제출값입니다</t>
    </r>
    <r>
      <rPr>
        <i val="true"/>
        <sz val="9.5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</si>
  <si>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1)  GPU </t>
    </r>
    <r>
      <rPr>
        <b val="true"/>
        <sz val="11"/>
        <color rgb="FF1F3864"/>
        <rFont val="Noto Sans CJK SC"/>
        <family val="2"/>
      </rPr>
      <t xml:space="preserve">수요등록 </t>
    </r>
    <r>
      <rPr>
        <b val="true"/>
        <sz val="11"/>
        <color rgb="FF1F3864"/>
        <rFont val="맑은 고딕"/>
        <family val="0"/>
        <charset val="1"/>
      </rPr>
      <t xml:space="preserve">5</t>
    </r>
    <r>
      <rPr>
        <b val="true"/>
        <sz val="11"/>
        <color rgb="FF1F3864"/>
        <rFont val="Noto Sans CJK SC"/>
        <family val="2"/>
      </rPr>
      <t xml:space="preserve">건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제출 완료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</si>
  <si>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#</t>
  </si>
  <si>
    <t xml:space="preserve">등록 항목</t>
  </si>
  <si>
    <t xml:space="preserve">학습 항목</t>
  </si>
  <si>
    <r>
      <rPr>
        <b val="true"/>
        <sz val="10"/>
        <color rgb="FF1F3864"/>
        <rFont val="Noto Sans CJK SC"/>
        <family val="2"/>
      </rPr>
      <t xml:space="preserve">연산량 </t>
    </r>
    <r>
      <rPr>
        <b val="true"/>
        <sz val="10"/>
        <color rgb="FF1F3864"/>
        <rFont val="맑은 고딕"/>
        <family val="0"/>
        <charset val="1"/>
      </rPr>
      <t xml:space="preserve">(E)</t>
    </r>
  </si>
  <si>
    <r>
      <rPr>
        <b val="true"/>
        <sz val="10"/>
        <color rgb="FF1F3864"/>
        <rFont val="맑은 고딕"/>
        <family val="0"/>
        <charset val="1"/>
      </rPr>
      <t xml:space="preserve">B300 (</t>
    </r>
    <r>
      <rPr>
        <b val="true"/>
        <sz val="10"/>
        <color rgb="FF1F3864"/>
        <rFont val="Noto Sans CJK SC"/>
        <family val="2"/>
      </rPr>
      <t xml:space="preserve">장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</si>
  <si>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입력 요약</t>
  </si>
  <si>
    <r>
      <rPr>
        <sz val="10"/>
        <rFont val="맑은 고딕"/>
        <family val="0"/>
        <charset val="1"/>
      </rPr>
      <t xml:space="preserve">GLM-5.2 </t>
    </r>
    <r>
      <rPr>
        <sz val="10"/>
        <rFont val="Noto Sans CJK SC"/>
        <family val="2"/>
      </rPr>
      <t xml:space="preserve">판단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도메인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코딩 </t>
    </r>
    <r>
      <rPr>
        <sz val="10"/>
        <rFont val="맑은 고딕"/>
        <family val="0"/>
        <charset val="1"/>
      </rPr>
      <t xml:space="preserve">SFT</t>
    </r>
  </si>
  <si>
    <t xml:space="preserve">TOKEN / Text LLM</t>
  </si>
  <si>
    <r>
      <rPr>
        <sz val="10"/>
        <rFont val="맑은 고딕"/>
        <family val="0"/>
        <charset val="1"/>
      </rPr>
      <t xml:space="preserve">743B · MoE · 1.5B tok · ep3 · 30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/dev2</t>
    </r>
  </si>
  <si>
    <r>
      <rPr>
        <sz val="10"/>
        <rFont val="맑은 고딕"/>
        <family val="0"/>
        <charset val="1"/>
      </rPr>
      <t xml:space="preserve">Qwen3.5-397B </t>
    </r>
    <r>
      <rPr>
        <sz val="10"/>
        <rFont val="Noto Sans CJK SC"/>
        <family val="2"/>
      </rPr>
      <t xml:space="preserve">멀티모달 </t>
    </r>
    <r>
      <rPr>
        <sz val="10"/>
        <rFont val="맑은 고딕"/>
        <family val="0"/>
        <charset val="1"/>
      </rPr>
      <t xml:space="preserve">SFT</t>
    </r>
  </si>
  <si>
    <t xml:space="preserve">TOKEN / Multimodal</t>
  </si>
  <si>
    <r>
      <rPr>
        <sz val="10"/>
        <rFont val="맑은 고딕"/>
        <family val="0"/>
        <charset val="1"/>
      </rPr>
      <t xml:space="preserve">397B · MoE · 1.2B tok · ep3 · 30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/dev2</t>
    </r>
  </si>
  <si>
    <r>
      <rPr>
        <sz val="10"/>
        <rFont val="맑은 고딕"/>
        <family val="0"/>
        <charset val="1"/>
      </rPr>
      <t xml:space="preserve">Qwen3-Embedding·Reranker </t>
    </r>
    <r>
      <rPr>
        <sz val="10"/>
        <rFont val="Noto Sans CJK SC"/>
        <family val="2"/>
      </rPr>
      <t xml:space="preserve">튜닝</t>
    </r>
  </si>
  <si>
    <r>
      <rPr>
        <sz val="10"/>
        <rFont val="맑은 고딕"/>
        <family val="0"/>
        <charset val="1"/>
      </rPr>
      <t xml:space="preserve">16B · 500M tok · ep5 · 15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/dev2</t>
    </r>
  </si>
  <si>
    <r>
      <rPr>
        <sz val="10"/>
        <rFont val="맑은 고딕"/>
        <family val="0"/>
        <charset val="1"/>
      </rPr>
      <t xml:space="preserve">GLM-5.2 Agent </t>
    </r>
    <r>
      <rPr>
        <sz val="10"/>
        <rFont val="Noto Sans CJK SC"/>
        <family val="2"/>
      </rPr>
      <t xml:space="preserve">정책학습</t>
    </r>
  </si>
  <si>
    <t xml:space="preserve">STEP / GRPO eq=13</t>
  </si>
  <si>
    <r>
      <rPr>
        <sz val="10"/>
        <rFont val="맑은 고딕"/>
        <family val="0"/>
        <charset val="1"/>
      </rPr>
      <t xml:space="preserve">743B · step 70K · 15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/dev2</t>
    </r>
  </si>
  <si>
    <r>
      <rPr>
        <sz val="10"/>
        <rFont val="맑은 고딕"/>
        <family val="0"/>
        <charset val="1"/>
      </rPr>
      <t xml:space="preserve">Qwen3-VL-Embedding </t>
    </r>
    <r>
      <rPr>
        <sz val="10"/>
        <rFont val="Noto Sans CJK SC"/>
        <family val="2"/>
      </rPr>
      <t xml:space="preserve">튜닝</t>
    </r>
  </si>
  <si>
    <r>
      <rPr>
        <sz val="10"/>
        <rFont val="맑은 고딕"/>
        <family val="0"/>
        <charset val="1"/>
      </rPr>
      <t xml:space="preserve">8B · 300M tok · ep15 · 15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/dev2</t>
    </r>
  </si>
  <si>
    <t xml:space="preserve">합계</t>
  </si>
  <si>
    <r>
      <rPr>
        <b val="true"/>
        <sz val="10"/>
        <rFont val="맑은 고딕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환산 </t>
    </r>
    <r>
      <rPr>
        <b val="true"/>
        <sz val="10"/>
        <rFont val="맑은 고딕"/>
        <family val="0"/>
        <charset val="1"/>
      </rPr>
      <t xml:space="preserve">(B300 × 2)</t>
    </r>
  </si>
  <si>
    <r>
      <rPr>
        <b val="true"/>
        <sz val="10"/>
        <rFont val="맑은 고딕"/>
        <family val="0"/>
        <charset val="1"/>
      </rPr>
      <t xml:space="preserve">→ 20</t>
    </r>
    <r>
      <rPr>
        <b val="true"/>
        <sz val="10"/>
        <rFont val="Noto Sans CJK SC"/>
        <family val="2"/>
      </rPr>
      <t xml:space="preserve">장 신청</t>
    </r>
  </si>
  <si>
    <r>
      <rPr>
        <i val="true"/>
        <sz val="9"/>
        <color rgb="FF595959"/>
        <rFont val="Noto Sans CJK SC"/>
        <family val="2"/>
      </rPr>
      <t xml:space="preserve">환산 계수 </t>
    </r>
    <r>
      <rPr>
        <i val="true"/>
        <sz val="9"/>
        <color rgb="FF595959"/>
        <rFont val="맑은 고딕"/>
        <family val="0"/>
        <charset val="1"/>
      </rPr>
      <t xml:space="preserve">B300 : H100 : A100 = 1 : 2 : 4 (</t>
    </r>
    <r>
      <rPr>
        <i val="true"/>
        <sz val="9"/>
        <color rgb="FF595959"/>
        <rFont val="Noto Sans CJK SC"/>
        <family val="2"/>
      </rPr>
      <t xml:space="preserve">사내 수요등록 시스템 스펙 계수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연산량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모델크기 </t>
    </r>
    <r>
      <rPr>
        <i val="true"/>
        <sz val="9"/>
        <color rgb="FF595959"/>
        <rFont val="맑은 고딕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토큰수 </t>
    </r>
    <r>
      <rPr>
        <i val="true"/>
        <sz val="9"/>
        <color rgb="FF595959"/>
        <rFont val="맑은 고딕"/>
        <family val="0"/>
        <charset val="1"/>
      </rPr>
      <t xml:space="preserve">× epoch × K(MoE 3 / dense 6), B300 = </t>
    </r>
    <r>
      <rPr>
        <i val="true"/>
        <sz val="9"/>
        <color rgb="FF595959"/>
        <rFont val="Noto Sans CJK SC"/>
        <family val="2"/>
      </rPr>
      <t xml:space="preserve">연산량 </t>
    </r>
    <r>
      <rPr>
        <i val="true"/>
        <sz val="9"/>
        <color rgb="FF595959"/>
        <rFont val="맑은 고딕"/>
        <family val="0"/>
        <charset val="1"/>
      </rPr>
      <t xml:space="preserve">÷ (137 × 1</t>
    </r>
    <r>
      <rPr>
        <i val="true"/>
        <sz val="9"/>
        <color rgb="FF595959"/>
        <rFont val="Noto Sans CJK SC"/>
        <family val="2"/>
      </rPr>
      <t xml:space="preserve">회 </t>
    </r>
    <r>
      <rPr>
        <i val="true"/>
        <sz val="9"/>
        <color rgb="FF595959"/>
        <rFont val="맑은 고딕"/>
        <family val="0"/>
        <charset val="1"/>
      </rPr>
      <t xml:space="preserve">dev </t>
    </r>
    <r>
      <rPr>
        <i val="true"/>
        <sz val="9"/>
        <color rgb="FF595959"/>
        <rFont val="Noto Sans CJK SC"/>
        <family val="2"/>
      </rPr>
      <t xml:space="preserve">일수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</si>
  <si>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1"/>
        <color rgb="FF1F3864"/>
        <rFont val="맑은 고딕"/>
        <family val="0"/>
        <charset val="1"/>
      </rPr>
      <t xml:space="preserve">2)  H100 20</t>
    </r>
    <r>
      <rPr>
        <b val="true"/>
        <sz val="11"/>
        <color rgb="FF1F3864"/>
        <rFont val="Noto Sans CJK SC"/>
        <family val="2"/>
      </rPr>
      <t xml:space="preserve">장 운용 배분</t>
    </r>
  </si>
  <si>
    <t xml:space="preserve">용도</t>
  </si>
  <si>
    <t xml:space="preserve">장수</t>
  </si>
  <si>
    <r>
      <rPr>
        <b val="true"/>
        <sz val="10"/>
        <color rgb="FF1F3864"/>
        <rFont val="Noto Sans CJK SC"/>
        <family val="2"/>
      </rPr>
      <t xml:space="preserve">메모리 </t>
    </r>
    <r>
      <rPr>
        <b val="true"/>
        <sz val="10"/>
        <color rgb="FF1F3864"/>
        <rFont val="맑은 고딕"/>
        <family val="0"/>
        <charset val="1"/>
      </rPr>
      <t xml:space="preserve">(GB)</t>
    </r>
  </si>
  <si>
    <r>
      <rPr>
        <sz val="10"/>
        <rFont val="Noto Sans CJK SC"/>
        <family val="2"/>
      </rPr>
      <t xml:space="preserve">판단 </t>
    </r>
    <r>
      <rPr>
        <sz val="10"/>
        <rFont val="맑은 고딕"/>
        <family val="0"/>
        <charset val="1"/>
      </rPr>
      <t xml:space="preserve">LLM </t>
    </r>
    <r>
      <rPr>
        <sz val="10"/>
        <rFont val="Noto Sans CJK SC"/>
        <family val="2"/>
      </rPr>
      <t xml:space="preserve">서빙 </t>
    </r>
    <r>
      <rPr>
        <sz val="10"/>
        <rFont val="맑은 고딕"/>
        <family val="0"/>
        <charset val="1"/>
      </rPr>
      <t xml:space="preserve">(TP)</t>
    </r>
  </si>
  <si>
    <t xml:space="preserve">서빙</t>
  </si>
  <si>
    <r>
      <rPr>
        <sz val="10"/>
        <rFont val="맑은 고딕"/>
        <family val="0"/>
        <charset val="1"/>
      </rPr>
      <t xml:space="preserve">FP8 </t>
    </r>
    <r>
      <rPr>
        <sz val="10"/>
        <rFont val="Noto Sans CJK SC"/>
        <family val="2"/>
      </rPr>
      <t xml:space="preserve">가중치 약 </t>
    </r>
    <r>
      <rPr>
        <sz val="10"/>
        <rFont val="맑은 고딕"/>
        <family val="0"/>
        <charset val="1"/>
      </rPr>
      <t xml:space="preserve">743GB — </t>
    </r>
    <r>
      <rPr>
        <sz val="10"/>
        <rFont val="Noto Sans CJK SC"/>
        <family val="2"/>
      </rPr>
      <t xml:space="preserve">적재 최소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 포함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장</t>
    </r>
  </si>
  <si>
    <r>
      <rPr>
        <sz val="10"/>
        <rFont val="Noto Sans CJK SC"/>
        <family val="2"/>
      </rPr>
      <t xml:space="preserve">고정밀 </t>
    </r>
    <r>
      <rPr>
        <sz val="10"/>
        <rFont val="맑은 고딕"/>
        <family val="0"/>
        <charset val="1"/>
      </rPr>
      <t xml:space="preserve">VLM </t>
    </r>
    <r>
      <rPr>
        <sz val="10"/>
        <rFont val="Noto Sans CJK SC"/>
        <family val="2"/>
      </rPr>
      <t xml:space="preserve">서빙</t>
    </r>
  </si>
  <si>
    <t xml:space="preserve">이미지 정밀 판독</t>
  </si>
  <si>
    <r>
      <rPr>
        <sz val="10"/>
        <rFont val="Noto Sans CJK SC"/>
        <family val="2"/>
      </rPr>
      <t xml:space="preserve">경량 </t>
    </r>
    <r>
      <rPr>
        <sz val="10"/>
        <rFont val="맑은 고딕"/>
        <family val="0"/>
        <charset val="1"/>
      </rPr>
      <t xml:space="preserve">VLM·</t>
    </r>
    <r>
      <rPr>
        <sz val="10"/>
        <rFont val="Noto Sans CJK SC"/>
        <family val="2"/>
      </rPr>
      <t xml:space="preserve">검색기 서빙</t>
    </r>
  </si>
  <si>
    <r>
      <rPr>
        <sz val="10"/>
        <rFont val="Noto Sans CJK SC"/>
        <family val="2"/>
      </rPr>
      <t xml:space="preserve">상시 응답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학습 중에도 유지</t>
    </r>
  </si>
  <si>
    <t xml:space="preserve">회귀평가 전용</t>
  </si>
  <si>
    <t xml:space="preserve">평가</t>
  </si>
  <si>
    <t xml:space="preserve">골든셋 회귀 게이트</t>
  </si>
  <si>
    <r>
      <rPr>
        <b val="true"/>
        <sz val="10"/>
        <rFont val="Noto Sans CJK SC"/>
        <family val="2"/>
      </rPr>
      <t xml:space="preserve">남는 슬롯 </t>
    </r>
    <r>
      <rPr>
        <b val="true"/>
        <sz val="10"/>
        <rFont val="맑은 고딕"/>
        <family val="0"/>
        <charset val="1"/>
      </rPr>
      <t xml:space="preserve">0</t>
    </r>
  </si>
  <si>
    <r>
      <rPr>
        <i val="true"/>
        <sz val="9"/>
        <color rgb="FF595959"/>
        <rFont val="Noto Sans CJK SC"/>
        <family val="2"/>
      </rPr>
      <t xml:space="preserve">학습 모드 전환 시 </t>
    </r>
    <r>
      <rPr>
        <i val="true"/>
        <sz val="9"/>
        <color rgb="FF595959"/>
        <rFont val="맑은 고딕"/>
        <family val="0"/>
        <charset val="1"/>
      </rPr>
      <t xml:space="preserve">16</t>
    </r>
    <r>
      <rPr>
        <i val="true"/>
        <sz val="9"/>
        <color rgb="FF595959"/>
        <rFont val="Noto Sans CJK SC"/>
        <family val="2"/>
      </rPr>
      <t xml:space="preserve">장을 </t>
    </r>
    <r>
      <rPr>
        <i val="true"/>
        <sz val="9"/>
        <color rgb="FF595959"/>
        <rFont val="맑은 고딕"/>
        <family val="0"/>
        <charset val="1"/>
      </rPr>
      <t xml:space="preserve">SFT·DPO</t>
    </r>
    <r>
      <rPr>
        <i val="true"/>
        <sz val="9"/>
        <color rgb="FF595959"/>
        <rFont val="Noto Sans CJK SC"/>
        <family val="2"/>
      </rPr>
      <t xml:space="preserve">로 돌리고 경량 서빙 </t>
    </r>
    <r>
      <rPr>
        <i val="true"/>
        <sz val="9"/>
        <color rgb="FF595959"/>
        <rFont val="맑은 고딕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장을 유지해 이미지 기능이 끊기지 않게 합니다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월 </t>
    </r>
    <r>
      <rPr>
        <i val="true"/>
        <sz val="9"/>
        <color rgb="FF595959"/>
        <rFont val="맑은 고딕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</si>
  <si>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1"/>
        <color rgb="FF1F3864"/>
        <rFont val="맑은 고딕"/>
        <family val="0"/>
        <charset val="1"/>
      </rPr>
      <t xml:space="preserve">3)  BIG VM 5</t>
    </r>
    <r>
      <rPr>
        <b val="true"/>
        <sz val="11"/>
        <color rgb="FF1F3864"/>
        <rFont val="Noto Sans CJK SC"/>
        <family val="2"/>
      </rPr>
      <t xml:space="preserve">대 </t>
    </r>
    <r>
      <rPr>
        <b val="true"/>
        <sz val="11"/>
        <color rgb="FF1F3864"/>
        <rFont val="맑은 고딕"/>
        <family val="0"/>
        <charset val="1"/>
      </rPr>
      <t xml:space="preserve">(Ubuntu 24.04 LTS)</t>
    </r>
  </si>
  <si>
    <r>
      <rPr>
        <b val="true"/>
        <sz val="10"/>
        <color rgb="FF1F3864"/>
        <rFont val="맑은 고딕"/>
        <family val="0"/>
        <charset val="1"/>
      </rPr>
      <t xml:space="preserve">Host / </t>
    </r>
    <r>
      <rPr>
        <b val="true"/>
        <sz val="10"/>
        <color rgb="FF1F3864"/>
        <rFont val="Noto Sans CJK SC"/>
        <family val="2"/>
      </rPr>
      <t xml:space="preserve">탑재 서비스</t>
    </r>
  </si>
  <si>
    <t xml:space="preserve">LB</t>
  </si>
  <si>
    <t xml:space="preserve">vCPU</t>
  </si>
  <si>
    <t xml:space="preserve">MEM (GB)</t>
  </si>
  <si>
    <t xml:space="preserve">DISK (GB)</t>
  </si>
  <si>
    <r>
      <rPr>
        <sz val="10"/>
        <rFont val="맑은 고딕"/>
        <family val="0"/>
        <charset val="1"/>
      </rPr>
      <t xml:space="preserve">qagent-svc01  Agent Runtime + Chat GW + </t>
    </r>
    <r>
      <rPr>
        <sz val="10"/>
        <rFont val="Noto Sans CJK SC"/>
        <family val="2"/>
      </rPr>
      <t xml:space="preserve">캐시</t>
    </r>
  </si>
  <si>
    <t xml:space="preserve">O</t>
  </si>
  <si>
    <r>
      <rPr>
        <sz val="10"/>
        <rFont val="맑은 고딕"/>
        <family val="0"/>
        <charset val="1"/>
      </rPr>
      <t xml:space="preserve">qagent-svc02  Agent HA + </t>
    </r>
    <r>
      <rPr>
        <sz val="10"/>
        <rFont val="Noto Sans CJK SC"/>
        <family val="2"/>
      </rPr>
      <t xml:space="preserve">모니터링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회귀평가</t>
    </r>
  </si>
  <si>
    <r>
      <rPr>
        <sz val="10"/>
        <rFont val="맑은 고딕"/>
        <family val="0"/>
        <charset val="1"/>
      </rPr>
      <t xml:space="preserve">qagent-data01  PostgreSQL+pgvector(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 + ETL</t>
    </r>
  </si>
  <si>
    <t xml:space="preserve">X</t>
  </si>
  <si>
    <r>
      <rPr>
        <sz val="10"/>
        <rFont val="맑은 고딕"/>
        <family val="0"/>
        <charset val="1"/>
      </rPr>
      <t xml:space="preserve">qagent-data02  PG standby + </t>
    </r>
    <r>
      <rPr>
        <sz val="10"/>
        <rFont val="Noto Sans CJK SC"/>
        <family val="2"/>
      </rPr>
      <t xml:space="preserve">백업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감사로그</t>
    </r>
  </si>
  <si>
    <r>
      <rPr>
        <sz val="10"/>
        <rFont val="맑은 고딕"/>
        <family val="0"/>
        <charset val="1"/>
      </rPr>
      <t xml:space="preserve">qagent-train01  </t>
    </r>
    <r>
      <rPr>
        <sz val="10"/>
        <rFont val="Noto Sans CJK SC"/>
        <family val="2"/>
      </rPr>
      <t xml:space="preserve">데이터셋 빌드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웨이트 병합</t>
    </r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</si>
  <si>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웹 입력값</t>
    </r>
    <r>
      <rPr>
        <b val="true"/>
        <sz val="10"/>
        <rFont val="맑은 고딕"/>
        <family val="0"/>
        <charset val="1"/>
      </rPr>
      <t xml:space="preserve">)</t>
    </r>
  </si>
  <si>
    <t xml:space="preserve">스토리지</t>
  </si>
  <si>
    <r>
      <rPr>
        <b val="true"/>
        <sz val="10"/>
        <color rgb="FF1F3864"/>
        <rFont val="Noto Sans CJK SC"/>
        <family val="2"/>
      </rPr>
      <t xml:space="preserve">용량 </t>
    </r>
    <r>
      <rPr>
        <b val="true"/>
        <sz val="10"/>
        <color rgb="FF1F3864"/>
        <rFont val="맑은 고딕"/>
        <family val="0"/>
        <charset val="1"/>
      </rPr>
      <t xml:space="preserve">(GB)</t>
    </r>
  </si>
  <si>
    <t xml:space="preserve">환산</t>
  </si>
  <si>
    <t xml:space="preserve">NAS</t>
  </si>
  <si>
    <r>
      <rPr>
        <sz val="10"/>
        <rFont val="Noto Sans CJK SC"/>
        <family val="2"/>
      </rPr>
      <t xml:space="preserve">모델 가중치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세대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체크포인트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데이터셋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캐시</t>
    </r>
  </si>
  <si>
    <t xml:space="preserve">Object Storage</t>
  </si>
  <si>
    <r>
      <rPr>
        <sz val="10"/>
        <rFont val="Noto Sans CJK SC"/>
        <family val="2"/>
      </rPr>
      <t xml:space="preserve">불량 이미지 </t>
    </r>
    <r>
      <rPr>
        <sz val="10"/>
        <rFont val="맑은 고딕"/>
        <family val="0"/>
        <charset val="1"/>
      </rPr>
      <t xml:space="preserve">· Wafer Map </t>
    </r>
    <r>
      <rPr>
        <sz val="10"/>
        <rFont val="Noto Sans CJK SC"/>
        <family val="2"/>
      </rPr>
      <t xml:space="preserve">원본 아카이브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스냅샷</t>
    </r>
  </si>
  <si>
    <t xml:space="preserve">백업</t>
  </si>
  <si>
    <r>
      <rPr>
        <sz val="10"/>
        <rFont val="맑은 고딕"/>
        <family val="0"/>
        <charset val="1"/>
      </rPr>
      <t xml:space="preserve">VM DISK 1</t>
    </r>
    <r>
      <rPr>
        <sz val="10"/>
        <rFont val="Noto Sans CJK SC"/>
        <family val="2"/>
      </rPr>
      <t xml:space="preserve">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 단위</t>
    </r>
    <r>
      <rPr>
        <sz val="10"/>
        <rFont val="맑은 고딕"/>
        <family val="0"/>
        <charset val="1"/>
      </rPr>
      <t xml:space="preserve">) + WAL </t>
    </r>
    <r>
      <rPr>
        <sz val="10"/>
        <rFont val="Noto Sans CJK SC"/>
        <family val="2"/>
      </rPr>
      <t xml:space="preserve">아카이브 → </t>
    </r>
    <r>
      <rPr>
        <sz val="10"/>
        <rFont val="맑은 고딕"/>
        <family val="0"/>
        <charset val="1"/>
      </rPr>
      <t xml:space="preserve">NAS</t>
    </r>
  </si>
  <si>
    <r>
      <rPr>
        <b val="true"/>
        <sz val="15"/>
        <color rgb="FFFFFFFF"/>
        <rFont val="Noto Sans CJK SC"/>
        <family val="2"/>
      </rPr>
      <t xml:space="preserve">예산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기대효과 </t>
    </r>
    <r>
      <rPr>
        <b val="true"/>
        <sz val="15"/>
        <color rgb="FFFFFFFF"/>
        <rFont val="맑은 고딕"/>
        <family val="0"/>
        <charset val="1"/>
      </rPr>
      <t xml:space="preserve">· ROI</t>
    </r>
  </si>
  <si>
    <r>
      <rPr>
        <i val="true"/>
        <sz val="9.5"/>
        <color rgb="FF595959"/>
        <rFont val="Noto Sans CJK SC"/>
        <family val="2"/>
      </rPr>
      <t xml:space="preserve">노란색 셀이 가정값입니다</t>
    </r>
    <r>
      <rPr>
        <i val="true"/>
        <sz val="9.5"/>
        <color rgb="FF595959"/>
        <rFont val="맑은 고딕"/>
        <family val="0"/>
        <charset val="1"/>
      </rPr>
      <t xml:space="preserve">. </t>
    </r>
    <r>
      <rPr>
        <i val="true"/>
        <sz val="9.5"/>
        <color rgb="FF595959"/>
        <rFont val="Noto Sans CJK SC"/>
        <family val="2"/>
      </rPr>
      <t xml:space="preserve">값을 바꾸면 아래 </t>
    </r>
    <r>
      <rPr>
        <i val="true"/>
        <sz val="9.5"/>
        <color rgb="FF595959"/>
        <rFont val="맑은 고딕"/>
        <family val="0"/>
        <charset val="1"/>
      </rPr>
      <t xml:space="preserve">ROI</t>
    </r>
    <r>
      <rPr>
        <i val="true"/>
        <sz val="9.5"/>
        <color rgb="FF595959"/>
        <rFont val="Noto Sans CJK SC"/>
        <family val="2"/>
      </rPr>
      <t xml:space="preserve">가 다시 계산됩니다</t>
    </r>
    <r>
      <rPr>
        <i val="true"/>
        <sz val="9.5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</si>
  <si>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1)  </t>
    </r>
    <r>
      <rPr>
        <b val="true"/>
        <sz val="11"/>
        <color rgb="FF1F3864"/>
        <rFont val="Noto Sans CJK SC"/>
        <family val="2"/>
      </rPr>
      <t xml:space="preserve">가정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입력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</si>
  <si>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가정 항목</t>
  </si>
  <si>
    <t xml:space="preserve">값</t>
  </si>
  <si>
    <t xml:space="preserve">단위</t>
  </si>
  <si>
    <t xml:space="preserve">근거</t>
  </si>
  <si>
    <t xml:space="preserve">현행 판정 업무 시간</t>
  </si>
  <si>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</t>
    </r>
  </si>
  <si>
    <r>
      <rPr>
        <sz val="10"/>
        <rFont val="Noto Sans CJK SC"/>
        <family val="2"/>
      </rPr>
      <t xml:space="preserve">현업 실무 기준 </t>
    </r>
    <r>
      <rPr>
        <sz val="10"/>
        <rFont val="맑은 고딕"/>
        <family val="0"/>
        <charset val="1"/>
      </rPr>
      <t xml:space="preserve">(GPU </t>
    </r>
    <r>
      <rPr>
        <sz val="10"/>
        <rFont val="Noto Sans CJK SC"/>
        <family val="2"/>
      </rPr>
      <t xml:space="preserve">수요등록 제출 시 사용한 것과 동일</t>
    </r>
    <r>
      <rPr>
        <sz val="10"/>
        <rFont val="맑은 고딕"/>
        <family val="0"/>
        <charset val="1"/>
      </rPr>
      <t xml:space="preserve">)</t>
    </r>
  </si>
  <si>
    <t xml:space="preserve">목표 판정 업무 시간</t>
  </si>
  <si>
    <r>
      <rPr>
        <sz val="10"/>
        <rFont val="Noto Sans CJK SC"/>
        <family val="2"/>
      </rPr>
      <t xml:space="preserve">도구 조회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대조를 에이전트가 대신함으로써 절감</t>
    </r>
  </si>
  <si>
    <t xml:space="preserve">표준 근무 시간</t>
  </si>
  <si>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</si>
  <si>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일 기준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</si>
  <si>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연간 인건비</t>
    </r>
  </si>
  <si>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년</t>
    </r>
  </si>
  <si>
    <t xml:space="preserve">사내 산정 기준값</t>
  </si>
  <si>
    <t xml:space="preserve">적용 인원</t>
  </si>
  <si>
    <t xml:space="preserve">명</t>
  </si>
  <si>
    <r>
      <rPr>
        <sz val="10"/>
        <rFont val="Noto Sans CJK SC"/>
        <family val="2"/>
      </rPr>
      <t xml:space="preserve">제조기술센터 품질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공정 엔지니어</t>
    </r>
  </si>
  <si>
    <t xml:space="preserve">연간 투자 금액</t>
  </si>
  <si>
    <r>
      <rPr>
        <sz val="10"/>
        <rFont val="맑은 고딕"/>
        <family val="0"/>
        <charset val="1"/>
      </rPr>
      <t xml:space="preserve">BIG VM 5</t>
    </r>
    <r>
      <rPr>
        <sz val="10"/>
        <rFont val="Noto Sans CJK SC"/>
        <family val="2"/>
      </rPr>
      <t xml:space="preserve">대 </t>
    </r>
    <r>
      <rPr>
        <sz val="10"/>
        <rFont val="맑은 고딕"/>
        <family val="0"/>
        <charset val="1"/>
      </rPr>
      <t xml:space="preserve">+ NAS 100TB + OBJ 50TB </t>
    </r>
    <r>
      <rPr>
        <sz val="10"/>
        <rFont val="Noto Sans CJK SC"/>
        <family val="2"/>
      </rPr>
      <t xml:space="preserve">사내 과금</t>
    </r>
  </si>
  <si>
    <r>
      <rPr>
        <b val="true"/>
        <sz val="11"/>
        <color rgb="FF1F3864"/>
        <rFont val="맑은 고딕"/>
        <family val="0"/>
        <charset val="1"/>
      </rPr>
      <t xml:space="preserve">2)  </t>
    </r>
    <r>
      <rPr>
        <b val="true"/>
        <sz val="11"/>
        <color rgb="FF1F3864"/>
        <rFont val="Noto Sans CJK SC"/>
        <family val="2"/>
      </rPr>
      <t xml:space="preserve">산출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수식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</si>
  <si>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산출 항목</t>
  </si>
  <si>
    <t xml:space="preserve">수식</t>
  </si>
  <si>
    <t xml:space="preserve">절감 업무 비율</t>
  </si>
  <si>
    <t xml:space="preserve">비율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</si>
  <si>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현행 </t>
    </r>
    <r>
      <rPr>
        <sz val="10"/>
        <rFont val="맑은 고딕"/>
        <family val="0"/>
        <charset val="1"/>
      </rPr>
      <t xml:space="preserve">4h / 8h) − (</t>
    </r>
    <r>
      <rPr>
        <sz val="10"/>
        <rFont val="Noto Sans CJK SC"/>
        <family val="2"/>
      </rPr>
      <t xml:space="preserve">목표 </t>
    </r>
    <r>
      <rPr>
        <sz val="10"/>
        <rFont val="맑은 고딕"/>
        <family val="0"/>
        <charset val="1"/>
      </rPr>
      <t xml:space="preserve">2h / 8h)</t>
    </r>
  </si>
  <si>
    <t xml:space="preserve">연간 기대효과</t>
  </si>
  <si>
    <r>
      <rPr>
        <sz val="10"/>
        <rFont val="Noto Sans CJK SC"/>
        <family val="2"/>
      </rPr>
      <t xml:space="preserve">절감 비율 </t>
    </r>
    <r>
      <rPr>
        <sz val="10"/>
        <rFont val="맑은 고딕"/>
        <family val="0"/>
        <charset val="1"/>
      </rPr>
      <t xml:space="preserve">× 1</t>
    </r>
    <r>
      <rPr>
        <sz val="10"/>
        <rFont val="Noto Sans CJK SC"/>
        <family val="2"/>
      </rPr>
      <t xml:space="preserve">인 연간 인건비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적용 인원</t>
    </r>
  </si>
  <si>
    <t xml:space="preserve">연간 투자</t>
  </si>
  <si>
    <r>
      <rPr>
        <sz val="10"/>
        <rFont val="Noto Sans CJK SC"/>
        <family val="2"/>
      </rPr>
      <t xml:space="preserve">가정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번 참조</t>
    </r>
  </si>
  <si>
    <t xml:space="preserve">ROI</t>
  </si>
  <si>
    <t xml:space="preserve">배</t>
  </si>
  <si>
    <r>
      <rPr>
        <b val="true"/>
        <sz val="10"/>
        <rFont val="Noto Sans CJK SC"/>
        <family val="2"/>
      </rPr>
      <t xml:space="preserve">연간 기대효과 </t>
    </r>
    <r>
      <rPr>
        <b val="true"/>
        <sz val="10"/>
        <rFont val="맑은 고딕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연간 투자</t>
    </r>
  </si>
  <si>
    <t xml:space="preserve">투자 회수 기간</t>
  </si>
  <si>
    <t xml:space="preserve">일</t>
  </si>
  <si>
    <t xml:space="preserve">365 ÷ ROI</t>
  </si>
  <si>
    <r>
      <rPr>
        <sz val="10"/>
        <rFont val="Noto Sans CJK SC"/>
        <family val="2"/>
      </rPr>
      <t xml:space="preserve">기대효과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억원 환산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</si>
  <si>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억원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</si>
  <si>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연간 기대효과 </t>
    </r>
    <r>
      <rPr>
        <sz val="10"/>
        <rFont val="맑은 고딕"/>
        <family val="0"/>
        <charset val="1"/>
      </rPr>
      <t xml:space="preserve">÷ 1</t>
    </r>
    <r>
      <rPr>
        <sz val="10"/>
        <rFont val="Noto Sans CJK SC"/>
        <family val="2"/>
      </rPr>
      <t xml:space="preserve">억</t>
    </r>
  </si>
  <si>
    <r>
      <rPr>
        <i val="true"/>
        <sz val="9"/>
        <color rgb="FF595959"/>
        <rFont val="Noto Sans CJK SC"/>
        <family val="2"/>
      </rPr>
      <t xml:space="preserve">이 산정은 </t>
    </r>
    <r>
      <rPr>
        <i val="true"/>
        <sz val="9"/>
        <color rgb="FF595959"/>
        <rFont val="맑은 고딕"/>
        <family val="0"/>
        <charset val="1"/>
      </rPr>
      <t xml:space="preserve">GPU </t>
    </r>
    <r>
      <rPr>
        <i val="true"/>
        <sz val="9"/>
        <color rgb="FF595959"/>
        <rFont val="Noto Sans CJK SC"/>
        <family val="2"/>
      </rPr>
      <t xml:space="preserve">수요등록 제출 시 사용한 것과 동일한 기준입니다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가동 후 골든 시나리오 정답률과 건당 처리 시간을 실측해 분기 단위로 보고하고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산정치와의 차이를 그때 조정합니다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</si>
  <si>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3)  </t>
    </r>
    <r>
      <rPr>
        <b val="true"/>
        <sz val="11"/>
        <color rgb="FF1F3864"/>
        <rFont val="Noto Sans CJK SC"/>
        <family val="2"/>
      </rPr>
      <t xml:space="preserve">민감도 — 절감 시간이 목표에 못 미쳐도</t>
    </r>
  </si>
  <si>
    <r>
      <rPr>
        <b val="true"/>
        <sz val="10"/>
        <color rgb="FF1F3864"/>
        <rFont val="Noto Sans CJK SC"/>
        <family val="2"/>
      </rPr>
      <t xml:space="preserve">목표 판정 시간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시간</t>
    </r>
    <r>
      <rPr>
        <b val="true"/>
        <sz val="10"/>
        <color rgb="FF1F3864"/>
        <rFont val="맑은 고딕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일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</si>
  <si>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절감 비율</t>
  </si>
  <si>
    <r>
      <rPr>
        <b val="true"/>
        <sz val="10"/>
        <color rgb="FF1F3864"/>
        <rFont val="Noto Sans CJK SC"/>
        <family val="2"/>
      </rPr>
      <t xml:space="preserve">연간 기대효과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억원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</si>
  <si>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1F3864"/>
        <rFont val="맑은 고딕"/>
        <family val="0"/>
        <charset val="1"/>
      </rPr>
      <t xml:space="preserve">ROI (</t>
    </r>
    <r>
      <rPr>
        <b val="true"/>
        <sz val="10"/>
        <color rgb="FF1F3864"/>
        <rFont val="Noto Sans CJK SC"/>
        <family val="2"/>
      </rPr>
      <t xml:space="preserve">배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</si>
  <si>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목표를 절반만 달성해 하루 </t>
    </r>
    <r>
      <rPr>
        <i val="true"/>
        <sz val="9"/>
        <color rgb="FF595959"/>
        <rFont val="맑은 고딕"/>
        <family val="0"/>
        <charset val="1"/>
      </rPr>
      <t xml:space="preserve">3.5</t>
    </r>
    <r>
      <rPr>
        <i val="true"/>
        <sz val="9"/>
        <color rgb="FF595959"/>
        <rFont val="Noto Sans CJK SC"/>
        <family val="2"/>
      </rPr>
      <t xml:space="preserve">시간까지만 줄어도 투자 대비 효과는 여전히 큰 폭으로 남습니다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본 지원서의 기준값은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행</t>
    </r>
    <r>
      <rPr>
        <i val="true"/>
        <sz val="9"/>
        <color rgb="FF595959"/>
        <rFont val="맑은 고딕"/>
        <family val="0"/>
        <charset val="1"/>
      </rPr>
      <t xml:space="preserve">(2.0</t>
    </r>
    <r>
      <rPr>
        <i val="true"/>
        <sz val="9"/>
        <color rgb="FF595959"/>
        <rFont val="Noto Sans CJK SC"/>
        <family val="2"/>
      </rPr>
      <t xml:space="preserve">시간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</si>
  <si>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5"/>
        <color rgb="FFFFFFFF"/>
        <rFont val="Noto Sans CJK SC"/>
        <family val="2"/>
      </rPr>
      <t xml:space="preserve">정량 목표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검증 항목</t>
    </r>
  </si>
  <si>
    <r>
      <rPr>
        <i val="true"/>
        <sz val="9.5"/>
        <color rgb="FF595959"/>
        <rFont val="Noto Sans CJK SC"/>
        <family val="2"/>
      </rPr>
      <t xml:space="preserve">목표 정답률에 임의의 퍼센트를 쓰지 않습니다</t>
    </r>
    <r>
      <rPr>
        <i val="true"/>
        <sz val="9.5"/>
        <color rgb="FF595959"/>
        <rFont val="맑은 고딕"/>
        <family val="0"/>
        <charset val="1"/>
      </rPr>
      <t xml:space="preserve">. Phase 0</t>
    </r>
    <r>
      <rPr>
        <i val="true"/>
        <sz val="9.5"/>
        <color rgb="FF595959"/>
        <rFont val="Noto Sans CJK SC"/>
        <family val="2"/>
      </rPr>
      <t xml:space="preserve">에서 기준선을 실측한 뒤 확정합니다</t>
    </r>
    <r>
      <rPr>
        <i val="true"/>
        <sz val="9.5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</si>
  <si>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1)  </t>
    </r>
    <r>
      <rPr>
        <b val="true"/>
        <sz val="11"/>
        <color rgb="FF1F3864"/>
        <rFont val="Noto Sans CJK SC"/>
        <family val="2"/>
      </rPr>
      <t xml:space="preserve">정량 목표</t>
    </r>
  </si>
  <si>
    <t xml:space="preserve">지표</t>
  </si>
  <si>
    <t xml:space="preserve">현재 상태</t>
  </si>
  <si>
    <t xml:space="preserve">목표</t>
  </si>
  <si>
    <t xml:space="preserve">측정 방법</t>
  </si>
  <si>
    <t xml:space="preserve">판정 소요 시간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</si>
  <si>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일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시간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</si>
  <si>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일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시간</t>
    </r>
  </si>
  <si>
    <t xml:space="preserve">건당 처리 시간 로그 실측</t>
  </si>
  <si>
    <t xml:space="preserve">골든셋 판정 일치율</t>
  </si>
  <si>
    <r>
      <rPr>
        <sz val="10"/>
        <rFont val="Noto Sans CJK SC"/>
        <family val="2"/>
      </rPr>
      <t xml:space="preserve">미측정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기준선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</si>
  <si>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Phase 0 </t>
    </r>
    <r>
      <rPr>
        <sz val="10"/>
        <rFont val="Noto Sans CJK SC"/>
        <family val="2"/>
      </rPr>
      <t xml:space="preserve">기준선 실측 → </t>
    </r>
    <r>
      <rPr>
        <sz val="10"/>
        <rFont val="맑은 고딕"/>
        <family val="0"/>
        <charset val="1"/>
      </rPr>
      <t xml:space="preserve">Phase 1 </t>
    </r>
    <r>
      <rPr>
        <sz val="10"/>
        <rFont val="Noto Sans CJK SC"/>
        <family val="2"/>
      </rPr>
      <t xml:space="preserve">목표치 확정</t>
    </r>
  </si>
  <si>
    <r>
      <rPr>
        <sz val="10"/>
        <rFont val="Noto Sans CJK SC"/>
        <family val="2"/>
      </rPr>
      <t xml:space="preserve">검색 </t>
    </r>
    <r>
      <rPr>
        <sz val="10"/>
        <rFont val="맑은 고딕"/>
        <family val="0"/>
        <charset val="1"/>
      </rPr>
      <t xml:space="preserve">recall@10</t>
    </r>
  </si>
  <si>
    <r>
      <rPr>
        <sz val="10"/>
        <rFont val="맑은 고딕"/>
        <family val="0"/>
        <charset val="1"/>
      </rPr>
      <t xml:space="preserve">0.500 (</t>
    </r>
    <r>
      <rPr>
        <sz val="10"/>
        <rFont val="Noto Sans CJK SC"/>
        <family val="2"/>
      </rPr>
      <t xml:space="preserve">실측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</si>
  <si>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질의 재작성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리랭커 적용 후 재측정하여 상향</t>
    </r>
  </si>
  <si>
    <r>
      <rPr>
        <sz val="10"/>
        <rFont val="맑은 고딕"/>
        <family val="0"/>
        <charset val="1"/>
      </rPr>
      <t xml:space="preserve">eval_recall.py (</t>
    </r>
    <r>
      <rPr>
        <sz val="10"/>
        <rFont val="Noto Sans CJK SC"/>
        <family val="2"/>
      </rPr>
      <t xml:space="preserve">골든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건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</si>
  <si>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야간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주말 커버리지</t>
    </r>
  </si>
  <si>
    <r>
      <rPr>
        <sz val="10"/>
        <rFont val="Noto Sans CJK SC"/>
        <family val="2"/>
      </rPr>
      <t xml:space="preserve">없음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다음 근무 대기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</si>
  <si>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24/7 </t>
    </r>
    <r>
      <rPr>
        <sz val="10"/>
        <rFont val="Noto Sans CJK SC"/>
        <family val="2"/>
      </rPr>
      <t xml:space="preserve">무인 접수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처리 누락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</si>
  <si>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t xml:space="preserve">접수 로그 대조</t>
  </si>
  <si>
    <t xml:space="preserve">근거 없는 판단 채택</t>
  </si>
  <si>
    <t xml:space="preserve">—</t>
  </si>
  <si>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</si>
  <si>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t xml:space="preserve">그라운딩 검증기 차단 로그</t>
  </si>
  <si>
    <r>
      <rPr>
        <sz val="10"/>
        <rFont val="Noto Sans CJK SC"/>
        <family val="2"/>
      </rPr>
      <t xml:space="preserve">미승인 </t>
    </r>
    <r>
      <rPr>
        <sz val="10"/>
        <rFont val="맑은 고딕"/>
        <family val="0"/>
        <charset val="1"/>
      </rPr>
      <t xml:space="preserve">L2 </t>
    </r>
    <r>
      <rPr>
        <sz val="10"/>
        <rFont val="Noto Sans CJK SC"/>
        <family val="2"/>
      </rPr>
      <t xml:space="preserve">조치 실행</t>
    </r>
  </si>
  <si>
    <t xml:space="preserve">감사 로그</t>
  </si>
  <si>
    <r>
      <rPr>
        <b val="true"/>
        <sz val="11"/>
        <color rgb="FF1F3864"/>
        <rFont val="맑은 고딕"/>
        <family val="0"/>
        <charset val="1"/>
      </rPr>
      <t xml:space="preserve">2)  </t>
    </r>
    <r>
      <rPr>
        <b val="true"/>
        <sz val="11"/>
        <color rgb="FF1F3864"/>
        <rFont val="Noto Sans CJK SC"/>
        <family val="2"/>
      </rPr>
      <t xml:space="preserve">회귀 게이트 검증 항목  —  통과하지 못하면 배포하지 않는다</t>
    </r>
  </si>
  <si>
    <t xml:space="preserve">검증</t>
  </si>
  <si>
    <t xml:space="preserve">방법</t>
  </si>
  <si>
    <t xml:space="preserve">통과 기준</t>
  </si>
  <si>
    <t xml:space="preserve">판단 정확도</t>
  </si>
  <si>
    <r>
      <rPr>
        <sz val="10"/>
        <rFont val="맑은 고딕"/>
        <family val="0"/>
        <charset val="1"/>
      </rPr>
      <t xml:space="preserve">Phase 0 </t>
    </r>
    <r>
      <rPr>
        <sz val="10"/>
        <rFont val="Noto Sans CJK SC"/>
        <family val="2"/>
      </rPr>
      <t xml:space="preserve">기준선 대비 하락 없음</t>
    </r>
  </si>
  <si>
    <t xml:space="preserve">검색 품질</t>
  </si>
  <si>
    <t xml:space="preserve">eval_recall.py — recall@10, MRR, precision@3</t>
  </si>
  <si>
    <t xml:space="preserve">직전 측정값 대비 하락 없음</t>
  </si>
  <si>
    <t xml:space="preserve">환각 차단</t>
  </si>
  <si>
    <r>
      <rPr>
        <sz val="10"/>
        <rFont val="Noto Sans CJK SC"/>
        <family val="2"/>
      </rPr>
      <t xml:space="preserve">검증기 날조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왜곡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과장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종 재현 테스트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</si>
  <si>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종 모두 차단</t>
    </r>
  </si>
  <si>
    <t xml:space="preserve">권한 통제</t>
  </si>
  <si>
    <r>
      <rPr>
        <sz val="10"/>
        <rFont val="Noto Sans CJK SC"/>
        <family val="2"/>
      </rPr>
      <t xml:space="preserve">승인 없이 </t>
    </r>
    <r>
      <rPr>
        <sz val="10"/>
        <rFont val="맑은 고딕"/>
        <family val="0"/>
        <charset val="1"/>
      </rPr>
      <t xml:space="preserve">L2 </t>
    </r>
    <r>
      <rPr>
        <sz val="10"/>
        <rFont val="Noto Sans CJK SC"/>
        <family val="2"/>
      </rPr>
      <t xml:space="preserve">조치 시도</t>
    </r>
  </si>
  <si>
    <r>
      <rPr>
        <sz val="10"/>
        <rFont val="Noto Sans CJK SC"/>
        <family val="2"/>
      </rPr>
      <t xml:space="preserve">변경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거부</t>
    </r>
    <r>
      <rPr>
        <sz val="10"/>
        <rFont val="맑은 고딕"/>
        <family val="0"/>
        <charset val="1"/>
      </rPr>
      <t xml:space="preserve">)</t>
    </r>
  </si>
  <si>
    <t xml:space="preserve">조회 계정 통제</t>
  </si>
  <si>
    <r>
      <rPr>
        <sz val="10"/>
        <rFont val="Noto Sans CJK SC"/>
        <family val="2"/>
      </rPr>
      <t xml:space="preserve">조회 계정으로 </t>
    </r>
    <r>
      <rPr>
        <sz val="10"/>
        <rFont val="맑은 고딕"/>
        <family val="0"/>
        <charset val="1"/>
      </rPr>
      <t xml:space="preserve">UPDATE </t>
    </r>
    <r>
      <rPr>
        <sz val="10"/>
        <rFont val="Noto Sans CJK SC"/>
        <family val="2"/>
      </rPr>
      <t xml:space="preserve">시도</t>
    </r>
  </si>
  <si>
    <t xml:space="preserve">권한 거부</t>
  </si>
  <si>
    <t xml:space="preserve">그림자 일치율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</si>
  <si>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판단 대 엔지니어 판단 비교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조치 미실행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</si>
  <si>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Phase 0</t>
    </r>
    <r>
      <rPr>
        <sz val="10"/>
        <rFont val="Noto Sans CJK SC"/>
        <family val="2"/>
      </rPr>
      <t xml:space="preserve">에서 기준선 확보</t>
    </r>
  </si>
  <si>
    <t xml:space="preserve">Phase 0</t>
  </si>
  <si>
    <t xml:space="preserve">금지 조치 접촉</t>
  </si>
  <si>
    <r>
      <rPr>
        <sz val="10"/>
        <rFont val="Noto Sans CJK SC"/>
        <family val="2"/>
      </rPr>
      <t xml:space="preserve">골든셋 </t>
    </r>
    <r>
      <rPr>
        <sz val="10"/>
        <rFont val="맑은 고딕"/>
        <family val="0"/>
        <charset val="1"/>
      </rPr>
      <t xml:space="preserve">fail_criteria </t>
    </r>
    <r>
      <rPr>
        <sz val="10"/>
        <rFont val="Noto Sans CJK SC"/>
        <family val="2"/>
      </rPr>
      <t xml:space="preserve">검사</t>
    </r>
  </si>
  <si>
    <t xml:space="preserve">접촉 시 즉시 실패 처리</t>
  </si>
  <si>
    <r>
      <rPr>
        <b val="true"/>
        <sz val="11"/>
        <color rgb="FF1F3864"/>
        <rFont val="맑은 고딕"/>
        <family val="0"/>
        <charset val="1"/>
      </rPr>
      <t xml:space="preserve">3)  </t>
    </r>
    <r>
      <rPr>
        <b val="true"/>
        <sz val="11"/>
        <color rgb="FF1F3864"/>
        <rFont val="Noto Sans CJK SC"/>
        <family val="2"/>
      </rPr>
      <t xml:space="preserve">운영 지표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월간 리포팅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</si>
  <si>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산출</t>
  </si>
  <si>
    <t xml:space="preserve">건당 처리 시간</t>
  </si>
  <si>
    <t xml:space="preserve">분</t>
  </si>
  <si>
    <r>
      <rPr>
        <sz val="10"/>
        <rFont val="Noto Sans CJK SC"/>
        <family val="2"/>
      </rPr>
      <t xml:space="preserve">판단 시작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조치 확정 로그</t>
    </r>
  </si>
  <si>
    <r>
      <rPr>
        <sz val="10"/>
        <rFont val="Noto Sans CJK SC"/>
        <family val="2"/>
      </rPr>
      <t xml:space="preserve">효과 실측 </t>
    </r>
    <r>
      <rPr>
        <sz val="10"/>
        <rFont val="맑은 고딕"/>
        <family val="0"/>
        <charset val="1"/>
      </rPr>
      <t xml:space="preserve">(ROI </t>
    </r>
    <r>
      <rPr>
        <sz val="10"/>
        <rFont val="Noto Sans CJK SC"/>
        <family val="2"/>
      </rPr>
      <t xml:space="preserve">검증</t>
    </r>
    <r>
      <rPr>
        <sz val="10"/>
        <rFont val="맑은 고딕"/>
        <family val="0"/>
        <charset val="1"/>
      </rPr>
      <t xml:space="preserve">)</t>
    </r>
  </si>
  <si>
    <t xml:space="preserve">이벤트 처리 누락</t>
  </si>
  <si>
    <t xml:space="preserve">건</t>
  </si>
  <si>
    <t xml:space="preserve">접수 로그 대 감지 로그 대조</t>
  </si>
  <si>
    <t xml:space="preserve">무인 커버리지 확인</t>
  </si>
  <si>
    <r>
      <rPr>
        <sz val="10"/>
        <rFont val="Noto Sans CJK SC"/>
        <family val="2"/>
      </rPr>
      <t xml:space="preserve">조치 승인율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반려율</t>
    </r>
  </si>
  <si>
    <t xml:space="preserve">%</t>
  </si>
  <si>
    <r>
      <rPr>
        <sz val="10"/>
        <rFont val="Noto Sans CJK SC"/>
        <family val="2"/>
      </rPr>
      <t xml:space="preserve">승인 건 </t>
    </r>
    <r>
      <rPr>
        <sz val="10"/>
        <rFont val="맑은 고딕"/>
        <family val="0"/>
        <charset val="1"/>
      </rPr>
      <t xml:space="preserve">÷ </t>
    </r>
    <r>
      <rPr>
        <sz val="10"/>
        <rFont val="Noto Sans CJK SC"/>
        <family val="2"/>
      </rPr>
      <t xml:space="preserve">제안 건</t>
    </r>
  </si>
  <si>
    <r>
      <rPr>
        <sz val="10"/>
        <rFont val="맑은 고딕"/>
        <family val="0"/>
        <charset val="1"/>
      </rPr>
      <t xml:space="preserve">L3 </t>
    </r>
    <r>
      <rPr>
        <sz val="10"/>
        <rFont val="Noto Sans CJK SC"/>
        <family val="2"/>
      </rPr>
      <t xml:space="preserve">승격 심의 근거</t>
    </r>
  </si>
  <si>
    <r>
      <rPr>
        <sz val="10"/>
        <rFont val="맑은 고딕"/>
        <family val="0"/>
        <charset val="1"/>
      </rPr>
      <t xml:space="preserve">GPU </t>
    </r>
    <r>
      <rPr>
        <sz val="10"/>
        <rFont val="Noto Sans CJK SC"/>
        <family val="2"/>
      </rPr>
      <t xml:space="preserve">가동률</t>
    </r>
  </si>
  <si>
    <r>
      <rPr>
        <sz val="10"/>
        <rFont val="Noto Sans CJK SC"/>
        <family val="2"/>
      </rPr>
      <t xml:space="preserve">서빙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학습 시간 </t>
    </r>
    <r>
      <rPr>
        <sz val="10"/>
        <rFont val="맑은 고딕"/>
        <family val="0"/>
        <charset val="1"/>
      </rPr>
      <t xml:space="preserve">÷ </t>
    </r>
    <r>
      <rPr>
        <sz val="10"/>
        <rFont val="Noto Sans CJK SC"/>
        <family val="2"/>
      </rPr>
      <t xml:space="preserve">가용 시간</t>
    </r>
  </si>
  <si>
    <t xml:space="preserve">자원 배정 근거</t>
  </si>
  <si>
    <r>
      <rPr>
        <sz val="10"/>
        <rFont val="Noto Sans CJK SC"/>
        <family val="2"/>
      </rPr>
      <t xml:space="preserve">등록 </t>
    </r>
    <r>
      <rPr>
        <sz val="10"/>
        <rFont val="맑은 고딕"/>
        <family val="0"/>
        <charset val="1"/>
      </rPr>
      <t xml:space="preserve">Inform Note</t>
    </r>
  </si>
  <si>
    <t xml:space="preserve">확정 적재 건수</t>
  </si>
  <si>
    <t xml:space="preserve">선순환 작동 여부</t>
  </si>
  <si>
    <r>
      <rPr>
        <b val="true"/>
        <sz val="15"/>
        <color rgb="FFFFFFFF"/>
        <rFont val="Noto Sans CJK SC"/>
        <family val="2"/>
      </rPr>
      <t xml:space="preserve">리스크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영향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대응</t>
    </r>
  </si>
  <si>
    <r>
      <rPr>
        <i val="true"/>
        <sz val="9.5"/>
        <color rgb="FF595959"/>
        <rFont val="맑은 고딕"/>
        <family val="0"/>
        <charset val="1"/>
      </rPr>
      <t xml:space="preserve">R1</t>
    </r>
    <r>
      <rPr>
        <i val="true"/>
        <sz val="9.5"/>
        <color rgb="FF595959"/>
        <rFont val="Noto Sans CJK SC"/>
        <family val="2"/>
      </rPr>
      <t xml:space="preserve">은 전체 구조의 전제입니다</t>
    </r>
    <r>
      <rPr>
        <i val="true"/>
        <sz val="9.5"/>
        <color rgb="FF595959"/>
        <rFont val="맑은 고딕"/>
        <family val="0"/>
        <charset val="1"/>
      </rPr>
      <t xml:space="preserve">. Phase 0</t>
    </r>
    <r>
      <rPr>
        <i val="true"/>
        <sz val="9.5"/>
        <color rgb="FF595959"/>
        <rFont val="Noto Sans CJK SC"/>
        <family val="2"/>
      </rPr>
      <t xml:space="preserve">에서 가장 먼저 검증합니다</t>
    </r>
    <r>
      <rPr>
        <i val="true"/>
        <sz val="9.5"/>
        <color rgb="FF595959"/>
        <rFont val="맑은 고딕"/>
        <family val="0"/>
        <charset val="1"/>
      </rPr>
      <t xml:space="preserve">.</t>
    </r>
  </si>
  <si>
    <t xml:space="preserve">리스크</t>
  </si>
  <si>
    <t xml:space="preserve">영향</t>
  </si>
  <si>
    <t xml:space="preserve">대응</t>
  </si>
  <si>
    <t xml:space="preserve">담당</t>
  </si>
  <si>
    <t xml:space="preserve">R1</t>
  </si>
  <si>
    <t xml:space="preserve">도구 호출 품질 부족</t>
  </si>
  <si>
    <t xml:space="preserve">전체 구조의 전제가 흔들림</t>
  </si>
  <si>
    <r>
      <rPr>
        <sz val="10"/>
        <rFont val="맑은 고딕"/>
        <family val="0"/>
        <charset val="1"/>
      </rPr>
      <t xml:space="preserve">Phase 0</t>
    </r>
    <r>
      <rPr>
        <sz val="10"/>
        <rFont val="Noto Sans CJK SC"/>
        <family val="2"/>
      </rPr>
      <t xml:space="preserve">에서 최우선 검증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구조화 출력 재시도 래퍼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 시 라우팅만 규칙 기반 폴백</t>
    </r>
  </si>
  <si>
    <r>
      <rPr>
        <sz val="10"/>
        <rFont val="Noto Sans CJK SC"/>
        <family val="2"/>
      </rPr>
      <t xml:space="preserve">개발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모델</t>
    </r>
  </si>
  <si>
    <t xml:space="preserve">R2</t>
  </si>
  <si>
    <r>
      <rPr>
        <sz val="10"/>
        <rFont val="맑은 고딕"/>
        <family val="0"/>
        <charset val="1"/>
      </rPr>
      <t xml:space="preserve">vision </t>
    </r>
    <r>
      <rPr>
        <sz val="10"/>
        <rFont val="Noto Sans CJK SC"/>
        <family val="2"/>
      </rPr>
      <t xml:space="preserve">모델 학습 라벨 부족</t>
    </r>
  </si>
  <si>
    <r>
      <rPr>
        <sz val="10"/>
        <rFont val="맑은 고딕"/>
        <family val="0"/>
        <charset val="1"/>
      </rPr>
      <t xml:space="preserve">Map·Image </t>
    </r>
    <r>
      <rPr>
        <sz val="10"/>
        <rFont val="Noto Sans CJK SC"/>
        <family val="2"/>
      </rPr>
      <t xml:space="preserve">판독 정확도 저하</t>
    </r>
  </si>
  <si>
    <r>
      <rPr>
        <sz val="10"/>
        <rFont val="Noto Sans CJK SC"/>
        <family val="2"/>
      </rPr>
      <t xml:space="preserve">공개 데이터셋 사전학습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기존 자산 재활용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확신도 낮으면 미지로 반환해 과신 방지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피드백 루프로 점진 개선</t>
    </r>
  </si>
  <si>
    <t xml:space="preserve">R3</t>
  </si>
  <si>
    <r>
      <rPr>
        <sz val="10"/>
        <rFont val="Noto Sans CJK SC"/>
        <family val="2"/>
      </rPr>
      <t xml:space="preserve">기간계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부하 유발</t>
    </r>
  </si>
  <si>
    <t xml:space="preserve">사내 신뢰 상실</t>
  </si>
  <si>
    <r>
      <rPr>
        <sz val="10"/>
        <rFont val="Noto Sans CJK SC"/>
        <family val="2"/>
      </rPr>
      <t xml:space="preserve">정보계 경유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전용 계정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뷰</t>
    </r>
    <r>
      <rPr>
        <sz val="10"/>
        <rFont val="맑은 고딕"/>
        <family val="0"/>
        <charset val="1"/>
      </rPr>
      <t xml:space="preserve">, statement_timeout·</t>
    </r>
    <r>
      <rPr>
        <sz val="10"/>
        <rFont val="Noto Sans CJK SC"/>
        <family val="2"/>
      </rPr>
      <t xml:space="preserve">행 수 제한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사건당 캐시</t>
    </r>
  </si>
  <si>
    <r>
      <rPr>
        <sz val="10"/>
        <rFont val="Noto Sans CJK SC"/>
        <family val="2"/>
      </rPr>
      <t xml:space="preserve">인프라</t>
    </r>
    <r>
      <rPr>
        <sz val="10"/>
        <rFont val="맑은 고딕"/>
        <family val="0"/>
        <charset val="1"/>
      </rPr>
      <t xml:space="preserve">·IT</t>
    </r>
  </si>
  <si>
    <t xml:space="preserve">R4</t>
  </si>
  <si>
    <t xml:space="preserve">오탐 알림 남발</t>
  </si>
  <si>
    <t xml:space="preserve">사용자 이탈로 시스템 사장</t>
  </si>
  <si>
    <r>
      <rPr>
        <sz val="10"/>
        <rFont val="Noto Sans CJK SC"/>
        <family val="2"/>
      </rPr>
      <t xml:space="preserve">이벤트 그룹핑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중복 제거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알림 등급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빈도 튜닝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수신자 피드백 버튼으로 지속 조정</t>
    </r>
  </si>
  <si>
    <r>
      <rPr>
        <sz val="10"/>
        <rFont val="Noto Sans CJK SC"/>
        <family val="2"/>
      </rPr>
      <t xml:space="preserve">현업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개발</t>
    </r>
  </si>
  <si>
    <t xml:space="preserve">R5</t>
  </si>
  <si>
    <t xml:space="preserve">잘못된 판단에 근거한 조치</t>
  </si>
  <si>
    <t xml:space="preserve">품질 사고</t>
  </si>
  <si>
    <r>
      <rPr>
        <sz val="10"/>
        <rFont val="맑은 고딕"/>
        <family val="0"/>
        <charset val="1"/>
      </rPr>
      <t xml:space="preserve">L2 </t>
    </r>
    <r>
      <rPr>
        <sz val="10"/>
        <rFont val="Noto Sans CJK SC"/>
        <family val="2"/>
      </rPr>
      <t xml:space="preserve">승인 게이트 고수</t>
    </r>
    <r>
      <rPr>
        <sz val="10"/>
        <rFont val="맑은 고딕"/>
        <family val="0"/>
        <charset val="1"/>
      </rPr>
      <t xml:space="preserve">, L3</t>
    </r>
    <r>
      <rPr>
        <sz val="10"/>
        <rFont val="Noto Sans CJK SC"/>
        <family val="2"/>
      </rPr>
      <t xml:space="preserve">는 실측 근거 기반 개별 승격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 조치 감사 로그</t>
    </r>
  </si>
  <si>
    <t xml:space="preserve">거버넌스</t>
  </si>
  <si>
    <t xml:space="preserve">R6</t>
  </si>
  <si>
    <r>
      <rPr>
        <sz val="10"/>
        <rFont val="맑은 고딕"/>
        <family val="0"/>
        <charset val="1"/>
      </rPr>
      <t xml:space="preserve">Inform Note </t>
    </r>
    <r>
      <rPr>
        <sz val="10"/>
        <rFont val="Noto Sans CJK SC"/>
        <family val="2"/>
      </rPr>
      <t xml:space="preserve">데이터 품질</t>
    </r>
  </si>
  <si>
    <t xml:space="preserve">검색 품질 저하</t>
  </si>
  <si>
    <r>
      <rPr>
        <sz val="10"/>
        <rFont val="Noto Sans CJK SC"/>
        <family val="2"/>
      </rPr>
      <t xml:space="preserve">구조화 추출 배치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용어 사전 병기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검색 실패 사례 리뷰 루프</t>
    </r>
  </si>
  <si>
    <t xml:space="preserve">현업</t>
  </si>
  <si>
    <t xml:space="preserve">R7</t>
  </si>
  <si>
    <t xml:space="preserve">담당 인력의 학습 곡선</t>
  </si>
  <si>
    <t xml:space="preserve">일정 지연</t>
  </si>
  <si>
    <r>
      <rPr>
        <sz val="10"/>
        <rFont val="맑은 고딕"/>
        <family val="0"/>
        <charset val="1"/>
      </rPr>
      <t xml:space="preserve">Phase 0~1</t>
    </r>
    <r>
      <rPr>
        <sz val="10"/>
        <rFont val="Noto Sans CJK SC"/>
        <family val="2"/>
      </rPr>
      <t xml:space="preserve">을 작게 유지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프리빌트에서 커스텀으로 점진 전환</t>
    </r>
  </si>
  <si>
    <t xml:space="preserve">과제 책임자 ◇</t>
  </si>
  <si>
    <r>
      <rPr>
        <i val="true"/>
        <sz val="9"/>
        <color rgb="FF595959"/>
        <rFont val="Noto Sans CJK SC"/>
        <family val="2"/>
      </rPr>
      <t xml:space="preserve">붉은 칸은 발생 시 과제 진행 자체를 멈추고 재검토해야 하는 항목입니다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</si>
  <si>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Noto Sans CJK SC"/>
        <family val="2"/>
      </rPr>
      <t xml:space="preserve">남은 확인 사항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착수 전 정리 필요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</si>
  <si>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항목</t>
  </si>
  <si>
    <t xml:space="preserve">상태</t>
  </si>
  <si>
    <t xml:space="preserve">필요한 조치</t>
  </si>
  <si>
    <r>
      <rPr>
        <sz val="10"/>
        <rFont val="맑은 고딕"/>
        <family val="0"/>
        <charset val="1"/>
      </rPr>
      <t xml:space="preserve">pgvector </t>
    </r>
    <r>
      <rPr>
        <sz val="10"/>
        <rFont val="Noto Sans CJK SC"/>
        <family val="2"/>
      </rPr>
      <t xml:space="preserve">버전</t>
    </r>
  </si>
  <si>
    <t xml:space="preserve">종료</t>
  </si>
  <si>
    <r>
      <rPr>
        <sz val="10"/>
        <rFont val="Noto Sans CJK SC"/>
        <family val="2"/>
      </rPr>
      <t xml:space="preserve">실측 </t>
    </r>
    <r>
      <rPr>
        <sz val="10"/>
        <rFont val="맑은 고딕"/>
        <family val="0"/>
        <charset val="1"/>
      </rPr>
      <t xml:space="preserve">0.8.1 </t>
    </r>
    <r>
      <rPr>
        <sz val="10"/>
        <rFont val="Noto Sans CJK SC"/>
        <family val="2"/>
      </rPr>
      <t xml:space="preserve">확인</t>
    </r>
    <r>
      <rPr>
        <sz val="10"/>
        <rFont val="맑은 고딕"/>
        <family val="0"/>
        <charset val="1"/>
      </rPr>
      <t xml:space="preserve">, halfvec </t>
    </r>
    <r>
      <rPr>
        <sz val="10"/>
        <rFont val="Noto Sans CJK SC"/>
        <family val="2"/>
      </rPr>
      <t xml:space="preserve">확정</t>
    </r>
  </si>
  <si>
    <t xml:space="preserve">완료</t>
  </si>
  <si>
    <t xml:space="preserve">모니터링 도구 사내 미러 등록</t>
  </si>
  <si>
    <t xml:space="preserve">확인 중</t>
  </si>
  <si>
    <t xml:space="preserve">미등록 시 바이너리 반입 절차</t>
  </si>
  <si>
    <r>
      <rPr>
        <sz val="10"/>
        <rFont val="맑은 고딕"/>
        <family val="0"/>
        <charset val="1"/>
      </rPr>
      <t xml:space="preserve">GPU </t>
    </r>
    <r>
      <rPr>
        <sz val="10"/>
        <rFont val="Noto Sans CJK SC"/>
        <family val="2"/>
      </rPr>
      <t xml:space="preserve">반입 일정</t>
    </r>
  </si>
  <si>
    <t xml:space="preserve">미정</t>
  </si>
  <si>
    <t xml:space="preserve">과제 마감일과 동기 필요</t>
  </si>
  <si>
    <r>
      <rPr>
        <sz val="10"/>
        <rFont val="Noto Sans CJK SC"/>
        <family val="2"/>
      </rPr>
      <t xml:space="preserve">정보계 접속점 계정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권한</t>
    </r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</si>
  <si>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확인 후 조회 전용 계정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뷰 발급</t>
    </r>
  </si>
  <si>
    <r>
      <rPr>
        <sz val="10"/>
        <rFont val="Noto Sans CJK SC"/>
        <family val="2"/>
      </rPr>
      <t xml:space="preserve">고정밀 </t>
    </r>
    <r>
      <rPr>
        <sz val="10"/>
        <rFont val="맑은 고딕"/>
        <family val="0"/>
        <charset val="1"/>
      </rPr>
      <t xml:space="preserve">VLM </t>
    </r>
    <r>
      <rPr>
        <sz val="10"/>
        <rFont val="Noto Sans CJK SC"/>
        <family val="2"/>
      </rPr>
      <t xml:space="preserve">이미지 입력 지원</t>
    </r>
  </si>
  <si>
    <r>
      <rPr>
        <sz val="10"/>
        <rFont val="Noto Sans CJK SC"/>
        <family val="2"/>
      </rPr>
      <t xml:space="preserve">모델 카드 확인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대안 후보 확보 완료</t>
    </r>
  </si>
  <si>
    <r>
      <rPr>
        <b val="true"/>
        <sz val="15"/>
        <color rgb="FFFFFFFF"/>
        <rFont val="Noto Sans CJK SC"/>
        <family val="2"/>
      </rPr>
      <t xml:space="preserve">역할 분담 </t>
    </r>
    <r>
      <rPr>
        <b val="true"/>
        <sz val="15"/>
        <color rgb="FFFFFFFF"/>
        <rFont val="맑은 고딕"/>
        <family val="0"/>
        <charset val="1"/>
      </rPr>
      <t xml:space="preserve">(RACI)</t>
    </r>
  </si>
  <si>
    <r>
      <rPr>
        <i val="true"/>
        <sz val="9.5"/>
        <color rgb="FF595959"/>
        <rFont val="맑은 고딕"/>
        <family val="0"/>
        <charset val="1"/>
      </rPr>
      <t xml:space="preserve">R </t>
    </r>
    <r>
      <rPr>
        <i val="true"/>
        <sz val="9.5"/>
        <color rgb="FF595959"/>
        <rFont val="Noto Sans CJK SC"/>
        <family val="2"/>
      </rPr>
      <t xml:space="preserve">실행 </t>
    </r>
    <r>
      <rPr>
        <i val="true"/>
        <sz val="9.5"/>
        <color rgb="FF595959"/>
        <rFont val="맑은 고딕"/>
        <family val="0"/>
        <charset val="1"/>
      </rPr>
      <t xml:space="preserve">· A </t>
    </r>
    <r>
      <rPr>
        <i val="true"/>
        <sz val="9.5"/>
        <color rgb="FF595959"/>
        <rFont val="Noto Sans CJK SC"/>
        <family val="2"/>
      </rPr>
      <t xml:space="preserve">최종책임 </t>
    </r>
    <r>
      <rPr>
        <i val="true"/>
        <sz val="9.5"/>
        <color rgb="FF595959"/>
        <rFont val="맑은 고딕"/>
        <family val="0"/>
        <charset val="1"/>
      </rPr>
      <t xml:space="preserve">· C </t>
    </r>
    <r>
      <rPr>
        <i val="true"/>
        <sz val="9.5"/>
        <color rgb="FF595959"/>
        <rFont val="Noto Sans CJK SC"/>
        <family val="2"/>
      </rPr>
      <t xml:space="preserve">협의 </t>
    </r>
    <r>
      <rPr>
        <i val="true"/>
        <sz val="9.5"/>
        <color rgb="FF595959"/>
        <rFont val="맑은 고딕"/>
        <family val="0"/>
        <charset val="1"/>
      </rPr>
      <t xml:space="preserve">· I </t>
    </r>
    <r>
      <rPr>
        <i val="true"/>
        <sz val="9.5"/>
        <color rgb="FF595959"/>
        <rFont val="Noto Sans CJK SC"/>
        <family val="2"/>
      </rPr>
      <t xml:space="preserve">공유</t>
    </r>
    <r>
      <rPr>
        <i val="true"/>
        <sz val="9.5"/>
        <color rgb="FF595959"/>
        <rFont val="맑은 고딕"/>
        <family val="0"/>
        <charset val="1"/>
      </rPr>
      <t xml:space="preserve">.  </t>
    </r>
    <r>
      <rPr>
        <i val="true"/>
        <sz val="9.5"/>
        <color rgb="FF595959"/>
        <rFont val="Noto Sans CJK SC"/>
        <family val="2"/>
      </rPr>
      <t xml:space="preserve">인원은 심사 확정 시 채웁니다</t>
    </r>
    <r>
      <rPr>
        <i val="true"/>
        <sz val="9.5"/>
        <color rgb="FF595959"/>
        <rFont val="맑은 고딕"/>
        <family val="0"/>
        <charset val="1"/>
      </rPr>
      <t xml:space="preserve">.</t>
    </r>
  </si>
  <si>
    <t xml:space="preserve">활동</t>
  </si>
  <si>
    <r>
      <rPr>
        <b val="true"/>
        <sz val="10"/>
        <color rgb="FF1F3864"/>
        <rFont val="Noto Sans CJK SC"/>
        <family val="2"/>
      </rPr>
      <t xml:space="preserve">현업
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품질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Noto Sans CJK SC"/>
        <family val="2"/>
      </rPr>
      <t xml:space="preserve">공정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</si>
  <si>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1F3864"/>
        <rFont val="Noto Sans CJK SC"/>
        <family val="2"/>
      </rPr>
      <t xml:space="preserve">개발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Noto Sans CJK SC"/>
        <family val="2"/>
      </rPr>
      <t xml:space="preserve">모델</t>
    </r>
  </si>
  <si>
    <r>
      <rPr>
        <b val="true"/>
        <sz val="10"/>
        <color rgb="FF1F3864"/>
        <rFont val="Noto Sans CJK SC"/>
        <family val="2"/>
      </rPr>
      <t xml:space="preserve">인프라</t>
    </r>
    <r>
      <rPr>
        <b val="true"/>
        <sz val="10"/>
        <color rgb="FF1F3864"/>
        <rFont val="맑은 고딕"/>
        <family val="0"/>
        <charset val="1"/>
      </rPr>
      <t xml:space="preserve">·IT</t>
    </r>
  </si>
  <si>
    <r>
      <rPr>
        <sz val="10"/>
        <rFont val="Noto Sans CJK SC"/>
        <family val="2"/>
      </rPr>
      <t xml:space="preserve">조사규칙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시스템지도 작성</t>
    </r>
  </si>
  <si>
    <t xml:space="preserve">A/R</t>
  </si>
  <si>
    <t xml:space="preserve">C</t>
  </si>
  <si>
    <t xml:space="preserve">I</t>
  </si>
  <si>
    <t xml:space="preserve">노하우의 주인은 현업</t>
  </si>
  <si>
    <r>
      <rPr>
        <sz val="10"/>
        <rFont val="Noto Sans CJK SC"/>
        <family val="2"/>
      </rPr>
      <t xml:space="preserve">도구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종 구현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테스트</t>
    </r>
  </si>
  <si>
    <t xml:space="preserve">도구별 단위테스트 포함</t>
  </si>
  <si>
    <r>
      <rPr>
        <sz val="10"/>
        <rFont val="Noto Sans CJK SC"/>
        <family val="2"/>
      </rPr>
      <t xml:space="preserve">모델 서빙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학습 파이프라인</t>
    </r>
  </si>
  <si>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회 재학습</t>
    </r>
  </si>
  <si>
    <r>
      <rPr>
        <sz val="10"/>
        <rFont val="Noto Sans CJK SC"/>
        <family val="2"/>
      </rPr>
      <t xml:space="preserve">정보계 접속점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계정 발급</t>
    </r>
  </si>
  <si>
    <r>
      <rPr>
        <sz val="10"/>
        <rFont val="Noto Sans CJK SC"/>
        <family val="2"/>
      </rPr>
      <t xml:space="preserve">조회 전용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운영계 직접 금지</t>
    </r>
  </si>
  <si>
    <r>
      <rPr>
        <sz val="10"/>
        <rFont val="맑은 고딕"/>
        <family val="0"/>
        <charset val="1"/>
      </rPr>
      <t xml:space="preserve">VM·GPU·DB </t>
    </r>
    <r>
      <rPr>
        <sz val="10"/>
        <rFont val="Noto Sans CJK SC"/>
        <family val="2"/>
      </rPr>
      <t xml:space="preserve">구축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</t>
    </r>
  </si>
  <si>
    <r>
      <rPr>
        <sz val="10"/>
        <rFont val="Noto Sans CJK SC"/>
        <family val="2"/>
      </rPr>
      <t xml:space="preserve">복제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백업 리허설 분기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</si>
  <si>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골든셋 정답 확정</t>
  </si>
  <si>
    <t xml:space="preserve">회귀 게이트 운영</t>
  </si>
  <si>
    <r>
      <rPr>
        <sz val="10"/>
        <rFont val="Noto Sans CJK SC"/>
        <family val="2"/>
      </rPr>
      <t xml:space="preserve">조치 승인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반려 </t>
    </r>
    <r>
      <rPr>
        <sz val="10"/>
        <rFont val="맑은 고딕"/>
        <family val="0"/>
        <charset val="1"/>
      </rPr>
      <t xml:space="preserve">(L2)</t>
    </r>
  </si>
  <si>
    <r>
      <rPr>
        <sz val="10"/>
        <rFont val="맑은 고딕"/>
        <family val="0"/>
        <charset val="1"/>
      </rPr>
      <t xml:space="preserve">dose</t>
    </r>
    <r>
      <rPr>
        <sz val="10"/>
        <rFont val="Noto Sans CJK SC"/>
        <family val="2"/>
      </rPr>
      <t xml:space="preserve">는 엔지니어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설비 정지는 상위 승인</t>
    </r>
  </si>
  <si>
    <r>
      <rPr>
        <sz val="10"/>
        <rFont val="맑은 고딕"/>
        <family val="0"/>
        <charset val="1"/>
      </rPr>
      <t xml:space="preserve">Inform Note </t>
    </r>
    <r>
      <rPr>
        <sz val="10"/>
        <rFont val="Noto Sans CJK SC"/>
        <family val="2"/>
      </rPr>
      <t xml:space="preserve">확정 등록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</si>
  <si>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초안 → 사람 확정</t>
    </r>
  </si>
  <si>
    <r>
      <rPr>
        <sz val="10"/>
        <rFont val="Noto Sans CJK SC"/>
        <family val="2"/>
      </rPr>
      <t xml:space="preserve">권한 정책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감사 로그 리뷰</t>
    </r>
  </si>
  <si>
    <t xml:space="preserve">분기 리뷰</t>
  </si>
  <si>
    <r>
      <rPr>
        <sz val="10"/>
        <rFont val="맑은 고딕"/>
        <family val="0"/>
        <charset val="1"/>
      </rPr>
      <t xml:space="preserve">L3 </t>
    </r>
    <r>
      <rPr>
        <sz val="10"/>
        <rFont val="Noto Sans CJK SC"/>
        <family val="2"/>
      </rPr>
      <t xml:space="preserve">자동조치 승격 심의</t>
    </r>
  </si>
  <si>
    <r>
      <rPr>
        <sz val="10"/>
        <rFont val="Noto Sans CJK SC"/>
        <family val="2"/>
      </rPr>
      <t xml:space="preserve">효과 실측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분기 보고</t>
    </r>
  </si>
  <si>
    <t xml:space="preserve">R</t>
  </si>
  <si>
    <t xml:space="preserve">A</t>
  </si>
  <si>
    <t xml:space="preserve">산정치 대비 차이 조정</t>
  </si>
  <si>
    <r>
      <rPr>
        <i val="true"/>
        <sz val="9"/>
        <color rgb="FF595959"/>
        <rFont val="Noto Sans CJK SC"/>
        <family val="2"/>
      </rPr>
      <t xml:space="preserve">현업이 </t>
    </r>
    <r>
      <rPr>
        <i val="true"/>
        <sz val="9"/>
        <color rgb="FF595959"/>
        <rFont val="맑은 고딕"/>
        <family val="0"/>
        <charset val="1"/>
      </rPr>
      <t xml:space="preserve">A(</t>
    </r>
    <r>
      <rPr>
        <i val="true"/>
        <sz val="9"/>
        <color rgb="FF595959"/>
        <rFont val="Noto Sans CJK SC"/>
        <family val="2"/>
      </rPr>
      <t xml:space="preserve">최종책임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를 갖는 항목이 절반입니다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 시스템은 </t>
    </r>
    <r>
      <rPr>
        <i val="true"/>
        <sz val="9"/>
        <color rgb="FF595959"/>
        <rFont val="맑은 고딕"/>
        <family val="0"/>
        <charset val="1"/>
      </rPr>
      <t xml:space="preserve">IT</t>
    </r>
    <r>
      <rPr>
        <i val="true"/>
        <sz val="9"/>
        <color rgb="FF595959"/>
        <rFont val="Noto Sans CJK SC"/>
        <family val="2"/>
      </rPr>
      <t xml:space="preserve">가 만들어 주는 것이 아니라 현업의 노하우가 등록되어야 자라는 구조이기 때문입니다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</si>
  <si>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역할</t>
  </si>
  <si>
    <t xml:space="preserve">인원</t>
  </si>
  <si>
    <t xml:space="preserve">주요 임무</t>
  </si>
  <si>
    <r>
      <rPr>
        <sz val="10"/>
        <rFont val="Noto Sans CJK SC"/>
        <family val="2"/>
      </rPr>
      <t xml:space="preserve">현업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)</t>
    </r>
  </si>
  <si>
    <t xml:space="preserve">◇명</t>
  </si>
  <si>
    <r>
      <rPr>
        <sz val="10"/>
        <rFont val="Noto Sans CJK SC"/>
        <family val="2"/>
      </rPr>
      <t xml:space="preserve">조사규칙 작성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조치 승인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반려</t>
    </r>
    <r>
      <rPr>
        <sz val="10"/>
        <rFont val="맑은 고딕"/>
        <family val="0"/>
        <charset val="1"/>
      </rPr>
      <t xml:space="preserve">, Inform Note </t>
    </r>
    <r>
      <rPr>
        <sz val="10"/>
        <rFont val="Noto Sans CJK SC"/>
        <family val="2"/>
      </rPr>
      <t xml:space="preserve">확정 등록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골든셋 정답 확정</t>
    </r>
  </si>
  <si>
    <r>
      <rPr>
        <sz val="10"/>
        <rFont val="Noto Sans CJK SC"/>
        <family val="2"/>
      </rPr>
      <t xml:space="preserve">그래프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도구 구현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모델 서빙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검색 품질 개선</t>
    </r>
  </si>
  <si>
    <r>
      <rPr>
        <sz val="10"/>
        <rFont val="맑은 고딕"/>
        <family val="0"/>
        <charset val="1"/>
      </rPr>
      <t xml:space="preserve">VM·GPU·DB </t>
    </r>
    <r>
      <rPr>
        <sz val="10"/>
        <rFont val="Noto Sans CJK SC"/>
        <family val="2"/>
      </rPr>
      <t xml:space="preserve">구축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정보계 접속점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모니터링</t>
    </r>
  </si>
  <si>
    <r>
      <rPr>
        <sz val="10"/>
        <rFont val="Noto Sans CJK SC"/>
        <family val="2"/>
      </rPr>
      <t xml:space="preserve">권한 정책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감사 로그 리뷰</t>
    </r>
    <r>
      <rPr>
        <sz val="10"/>
        <rFont val="맑은 고딕"/>
        <family val="0"/>
        <charset val="1"/>
      </rPr>
      <t xml:space="preserve">, L3 </t>
    </r>
    <r>
      <rPr>
        <sz val="10"/>
        <rFont val="Noto Sans CJK SC"/>
        <family val="2"/>
      </rPr>
      <t xml:space="preserve">승격 심의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</si>
</sst>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0.0"/>
    <numFmt numFmtId="168" formatCode="#,##0&quot;TB&quot;"/>
    <numFmt numFmtId="169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b val="true"/>
      <sz val="15"/>
      <color rgb="FFFFFFFF"/>
      <name val="맑은 고딕"/>
      <family val="0"/>
      <charset val="1"/>
    </font>
    <font>
      <i val="true"/>
      <sz val="9.5"/>
      <color rgb="FF595959"/>
      <name val="Noto Sans CJK SC"/>
      <family val="2"/>
    </font>
    <font>
      <i val="true"/>
      <sz val="9.5"/>
      <color rgb="FF595959"/>
      <name val="맑은 고딕"/>
      <family val="0"/>
      <charset val="1"/>
    </font>
    <font>
      <b val="true"/>
      <sz val="10"/>
      <color rgb="FF1F3864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1F3864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b val="true"/>
      <sz val="11"/>
      <color rgb="FF1F3864"/>
      <name val="Noto Sans CJK SC"/>
      <family val="2"/>
    </font>
    <font>
      <b val="true"/>
      <sz val="10"/>
      <color rgb="FF0000FF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4472C4"/>
        <bgColor rgb="FF0066CC"/>
      </patternFill>
    </fill>
    <fill>
      <patternFill patternType="solid">
        <fgColor rgb="FFA9C0E8"/>
        <bgColor rgb="FFB4C6DE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DE"/>
      </left>
      <right style="thin">
        <color rgb="FFB4C6DE"/>
      </right>
      <top style="thin">
        <color rgb="FFB4C6DE"/>
      </top>
      <bottom style="thin">
        <color rgb="FFB4C6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DE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A9C0E8"/>
      <rgbColor rgb="FFFF99CC"/>
      <rgbColor rgb="FFCC99FF"/>
      <rgbColor rgb="FFFCE4E4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4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25.5" hidden="false" customHeight="true" outlineLevel="0" collapsed="false">
      <c r="A4" s="3" t="s">
        <v>2</v>
      </c>
      <c r="B4" s="3" t="s">
        <v>3</v>
      </c>
    </row>
    <row r="5" customFormat="false" ht="21.75" hidden="false" customHeight="true" outlineLevel="0" collapsed="false">
      <c r="A5" s="4" t="s">
        <v>4</v>
      </c>
      <c r="B5" s="4" t="s">
        <v>5</v>
      </c>
    </row>
    <row r="6" customFormat="false" ht="21.75" hidden="false" customHeight="true" outlineLevel="0" collapsed="false">
      <c r="A6" s="4" t="s">
        <v>6</v>
      </c>
      <c r="B6" s="4" t="s">
        <v>7</v>
      </c>
    </row>
    <row r="7" customFormat="false" ht="21.75" hidden="false" customHeight="true" outlineLevel="0" collapsed="false">
      <c r="A7" s="4" t="s">
        <v>8</v>
      </c>
      <c r="B7" s="5" t="s">
        <v>9</v>
      </c>
    </row>
    <row r="8" customFormat="false" ht="21.75" hidden="false" customHeight="true" outlineLevel="0" collapsed="false">
      <c r="A8" s="4" t="s">
        <v>10</v>
      </c>
      <c r="B8" s="4" t="s">
        <v>11</v>
      </c>
    </row>
    <row r="9" customFormat="false" ht="21.75" hidden="false" customHeight="true" outlineLevel="0" collapsed="false">
      <c r="A9" s="4" t="s">
        <v>12</v>
      </c>
      <c r="B9" s="5" t="s">
        <v>13</v>
      </c>
    </row>
    <row r="10" customFormat="false" ht="21.75" hidden="false" customHeight="true" outlineLevel="0" collapsed="false">
      <c r="A10" s="4" t="s">
        <v>14</v>
      </c>
      <c r="B10" s="4" t="s">
        <v>15</v>
      </c>
    </row>
    <row r="11" customFormat="false" ht="21.75" hidden="false" customHeight="true" outlineLevel="0" collapsed="false">
      <c r="A11" s="4" t="s">
        <v>16</v>
      </c>
      <c r="B11" s="4" t="s">
        <v>17</v>
      </c>
    </row>
    <row r="12" customFormat="false" ht="21.75" hidden="false" customHeight="true" outlineLevel="0" collapsed="false">
      <c r="A12" s="4" t="s">
        <v>18</v>
      </c>
      <c r="B12" s="5" t="s">
        <v>19</v>
      </c>
    </row>
    <row r="13" customFormat="false" ht="21.75" hidden="false" customHeight="true" outlineLevel="0" collapsed="false">
      <c r="A13" s="6" t="s">
        <v>20</v>
      </c>
      <c r="B13" s="7" t="s">
        <v>21</v>
      </c>
    </row>
    <row r="14" customFormat="false" ht="21.75" hidden="false" customHeight="true" outlineLevel="0" collapsed="false">
      <c r="A14" s="8" t="s">
        <v>22</v>
      </c>
      <c r="B14" s="8" t="s">
        <v>23</v>
      </c>
    </row>
    <row r="17" customFormat="false" ht="25.5" hidden="false" customHeight="true" outlineLevel="0" collapsed="false">
      <c r="A17" s="3" t="s">
        <v>24</v>
      </c>
      <c r="B17" s="3" t="s">
        <v>3</v>
      </c>
    </row>
    <row r="18" customFormat="false" ht="19.5" hidden="false" customHeight="true" outlineLevel="0" collapsed="false">
      <c r="A18" s="4" t="s">
        <v>25</v>
      </c>
      <c r="B18" s="5" t="s">
        <v>26</v>
      </c>
    </row>
    <row r="19" customFormat="false" ht="19.5" hidden="false" customHeight="true" outlineLevel="0" collapsed="false">
      <c r="A19" s="4" t="s">
        <v>27</v>
      </c>
      <c r="B19" s="4" t="s">
        <v>28</v>
      </c>
    </row>
    <row r="20" customFormat="false" ht="19.5" hidden="false" customHeight="true" outlineLevel="0" collapsed="false">
      <c r="A20" s="4" t="s">
        <v>29</v>
      </c>
      <c r="B20" s="5" t="s">
        <v>30</v>
      </c>
    </row>
    <row r="21" customFormat="false" ht="19.5" hidden="false" customHeight="true" outlineLevel="0" collapsed="false">
      <c r="A21" s="4" t="s">
        <v>31</v>
      </c>
      <c r="B21" s="4" t="s">
        <v>32</v>
      </c>
    </row>
    <row r="22" customFormat="false" ht="19.5" hidden="false" customHeight="true" outlineLevel="0" collapsed="false">
      <c r="A22" s="5" t="s">
        <v>33</v>
      </c>
      <c r="B22" s="4" t="s">
        <v>34</v>
      </c>
    </row>
    <row r="23" customFormat="false" ht="19.5" hidden="false" customHeight="true" outlineLevel="0" collapsed="false">
      <c r="A23" s="4" t="s">
        <v>35</v>
      </c>
      <c r="B23" s="4" t="s">
        <v>36</v>
      </c>
    </row>
    <row r="24" customFormat="false" ht="19.5" hidden="false" customHeight="true" outlineLevel="0" collapsed="false">
      <c r="A24" s="4" t="s">
        <v>37</v>
      </c>
      <c r="B24" s="4" t="s">
        <v>38</v>
      </c>
    </row>
    <row r="26" customFormat="false" ht="19.5" hidden="false" customHeight="true" outlineLevel="0" collapsed="false">
      <c r="A26" s="9" t="s">
        <v>39</v>
      </c>
      <c r="B26" s="9"/>
    </row>
  </sheetData>
  <mergeCells count="3">
    <mergeCell ref="A1:B1"/>
    <mergeCell ref="A2:B2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  <col collapsed="false" customWidth="true" hidden="false" outlineLevel="0" max="15" min="4" style="0" width="4.5"/>
  </cols>
  <sheetData>
    <row r="1" customFormat="false" ht="30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customFormat="false" ht="25.5" hidden="false" customHeight="true" outlineLevel="0" collapsed="false">
      <c r="A4" s="3" t="s">
        <v>42</v>
      </c>
      <c r="B4" s="3" t="s">
        <v>43</v>
      </c>
      <c r="C4" s="3" t="s">
        <v>44</v>
      </c>
      <c r="D4" s="11" t="s">
        <v>45</v>
      </c>
      <c r="E4" s="11" t="s">
        <v>46</v>
      </c>
      <c r="F4" s="11" t="s">
        <v>47</v>
      </c>
      <c r="G4" s="11" t="s">
        <v>48</v>
      </c>
      <c r="H4" s="11" t="s">
        <v>49</v>
      </c>
      <c r="I4" s="11" t="s">
        <v>50</v>
      </c>
      <c r="J4" s="11" t="s">
        <v>51</v>
      </c>
      <c r="K4" s="11" t="s">
        <v>52</v>
      </c>
      <c r="L4" s="11" t="s">
        <v>53</v>
      </c>
      <c r="M4" s="11" t="s">
        <v>54</v>
      </c>
      <c r="N4" s="11" t="s">
        <v>55</v>
      </c>
      <c r="O4" s="11" t="s">
        <v>56</v>
      </c>
    </row>
    <row r="5" customFormat="false" ht="30" hidden="false" customHeight="true" outlineLevel="0" collapsed="false">
      <c r="A5" s="12" t="s">
        <v>57</v>
      </c>
      <c r="B5" s="13" t="s">
        <v>58</v>
      </c>
      <c r="C5" s="13" t="s">
        <v>59</v>
      </c>
      <c r="D5" s="14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customFormat="false" ht="25.5" hidden="false" customHeight="true" outlineLevel="0" collapsed="false">
      <c r="A6" s="4" t="s">
        <v>60</v>
      </c>
      <c r="B6" s="4" t="s">
        <v>61</v>
      </c>
      <c r="C6" s="5" t="s">
        <v>62</v>
      </c>
      <c r="D6" s="16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customFormat="false" ht="25.5" hidden="false" customHeight="true" outlineLevel="0" collapsed="false">
      <c r="A7" s="4" t="s">
        <v>63</v>
      </c>
      <c r="B7" s="5" t="s">
        <v>64</v>
      </c>
      <c r="C7" s="4" t="s">
        <v>65</v>
      </c>
      <c r="D7" s="16"/>
      <c r="E7" s="16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customFormat="false" ht="25.5" hidden="false" customHeight="true" outlineLevel="0" collapsed="false">
      <c r="A8" s="4" t="s">
        <v>66</v>
      </c>
      <c r="B8" s="5" t="s">
        <v>67</v>
      </c>
      <c r="C8" s="4" t="s">
        <v>68</v>
      </c>
      <c r="D8" s="16"/>
      <c r="E8" s="16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customFormat="false" ht="25.5" hidden="false" customHeight="true" outlineLevel="0" collapsed="false">
      <c r="A9" s="4" t="s">
        <v>69</v>
      </c>
      <c r="B9" s="4" t="s">
        <v>70</v>
      </c>
      <c r="C9" s="4" t="s">
        <v>71</v>
      </c>
      <c r="D9" s="15"/>
      <c r="E9" s="16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customFormat="false" ht="25.5" hidden="false" customHeight="true" outlineLevel="0" collapsed="false">
      <c r="A10" s="4" t="s">
        <v>72</v>
      </c>
      <c r="B10" s="4" t="s">
        <v>73</v>
      </c>
      <c r="C10" s="4" t="s">
        <v>74</v>
      </c>
      <c r="D10" s="16"/>
      <c r="E10" s="16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customFormat="false" ht="25.5" hidden="false" customHeight="true" outlineLevel="0" collapsed="false">
      <c r="A11" s="4" t="s">
        <v>75</v>
      </c>
      <c r="B11" s="4" t="s">
        <v>76</v>
      </c>
      <c r="C11" s="5" t="s">
        <v>77</v>
      </c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customFormat="false" ht="30" hidden="false" customHeight="true" outlineLevel="0" collapsed="false">
      <c r="A12" s="12" t="s">
        <v>78</v>
      </c>
      <c r="B12" s="13" t="s">
        <v>79</v>
      </c>
      <c r="C12" s="13" t="s">
        <v>80</v>
      </c>
      <c r="D12" s="15"/>
      <c r="E12" s="15"/>
      <c r="F12" s="14"/>
      <c r="G12" s="14"/>
      <c r="H12" s="14"/>
      <c r="I12" s="15"/>
      <c r="J12" s="15"/>
      <c r="K12" s="15"/>
      <c r="L12" s="15"/>
      <c r="M12" s="15"/>
      <c r="N12" s="15"/>
      <c r="O12" s="15"/>
    </row>
    <row r="13" customFormat="false" ht="25.5" hidden="false" customHeight="true" outlineLevel="0" collapsed="false">
      <c r="A13" s="5" t="s">
        <v>81</v>
      </c>
      <c r="B13" s="4" t="s">
        <v>82</v>
      </c>
      <c r="C13" s="4" t="s">
        <v>83</v>
      </c>
      <c r="D13" s="15"/>
      <c r="E13" s="15"/>
      <c r="F13" s="16"/>
      <c r="G13" s="16"/>
      <c r="H13" s="15"/>
      <c r="I13" s="15"/>
      <c r="J13" s="15"/>
      <c r="K13" s="15"/>
      <c r="L13" s="15"/>
      <c r="M13" s="15"/>
      <c r="N13" s="15"/>
      <c r="O13" s="15"/>
    </row>
    <row r="14" customFormat="false" ht="25.5" hidden="false" customHeight="true" outlineLevel="0" collapsed="false">
      <c r="A14" s="4" t="s">
        <v>84</v>
      </c>
      <c r="B14" s="4" t="s">
        <v>85</v>
      </c>
      <c r="C14" s="4" t="s">
        <v>86</v>
      </c>
      <c r="D14" s="15"/>
      <c r="E14" s="15"/>
      <c r="F14" s="16"/>
      <c r="G14" s="16"/>
      <c r="H14" s="15"/>
      <c r="I14" s="15"/>
      <c r="J14" s="15"/>
      <c r="K14" s="15"/>
      <c r="L14" s="15"/>
      <c r="M14" s="15"/>
      <c r="N14" s="15"/>
      <c r="O14" s="15"/>
    </row>
    <row r="15" customFormat="false" ht="25.5" hidden="false" customHeight="true" outlineLevel="0" collapsed="false">
      <c r="A15" s="4" t="s">
        <v>87</v>
      </c>
      <c r="B15" s="5" t="s">
        <v>88</v>
      </c>
      <c r="C15" s="4" t="s">
        <v>89</v>
      </c>
      <c r="D15" s="15"/>
      <c r="E15" s="15"/>
      <c r="F15" s="15"/>
      <c r="G15" s="16"/>
      <c r="H15" s="16"/>
      <c r="I15" s="15"/>
      <c r="J15" s="15"/>
      <c r="K15" s="15"/>
      <c r="L15" s="15"/>
      <c r="M15" s="15"/>
      <c r="N15" s="15"/>
      <c r="O15" s="15"/>
    </row>
    <row r="16" customFormat="false" ht="25.5" hidden="false" customHeight="true" outlineLevel="0" collapsed="false">
      <c r="A16" s="5" t="s">
        <v>90</v>
      </c>
      <c r="B16" s="5" t="s">
        <v>91</v>
      </c>
      <c r="C16" s="4" t="s">
        <v>92</v>
      </c>
      <c r="D16" s="15"/>
      <c r="E16" s="15"/>
      <c r="F16" s="16"/>
      <c r="G16" s="16"/>
      <c r="H16" s="16"/>
      <c r="I16" s="15"/>
      <c r="J16" s="15"/>
      <c r="K16" s="15"/>
      <c r="L16" s="15"/>
      <c r="M16" s="15"/>
      <c r="N16" s="15"/>
      <c r="O16" s="15"/>
    </row>
    <row r="17" customFormat="false" ht="25.5" hidden="false" customHeight="true" outlineLevel="0" collapsed="false">
      <c r="A17" s="4" t="s">
        <v>93</v>
      </c>
      <c r="B17" s="4" t="s">
        <v>94</v>
      </c>
      <c r="C17" s="5" t="s">
        <v>95</v>
      </c>
      <c r="D17" s="15"/>
      <c r="E17" s="15"/>
      <c r="F17" s="15"/>
      <c r="G17" s="16"/>
      <c r="H17" s="16"/>
      <c r="I17" s="15"/>
      <c r="J17" s="15"/>
      <c r="K17" s="15"/>
      <c r="L17" s="15"/>
      <c r="M17" s="15"/>
      <c r="N17" s="15"/>
      <c r="O17" s="15"/>
    </row>
    <row r="18" customFormat="false" ht="30" hidden="false" customHeight="true" outlineLevel="0" collapsed="false">
      <c r="A18" s="12" t="s">
        <v>96</v>
      </c>
      <c r="B18" s="12" t="s">
        <v>97</v>
      </c>
      <c r="C18" s="13" t="s">
        <v>98</v>
      </c>
      <c r="D18" s="15"/>
      <c r="E18" s="15"/>
      <c r="F18" s="15"/>
      <c r="G18" s="15"/>
      <c r="H18" s="15"/>
      <c r="I18" s="14"/>
      <c r="J18" s="14"/>
      <c r="K18" s="14"/>
      <c r="L18" s="15"/>
      <c r="M18" s="15"/>
      <c r="N18" s="15"/>
      <c r="O18" s="15"/>
    </row>
    <row r="19" customFormat="false" ht="25.5" hidden="false" customHeight="true" outlineLevel="0" collapsed="false">
      <c r="A19" s="5" t="s">
        <v>99</v>
      </c>
      <c r="B19" s="4" t="s">
        <v>100</v>
      </c>
      <c r="C19" s="4" t="s">
        <v>101</v>
      </c>
      <c r="D19" s="15"/>
      <c r="E19" s="15"/>
      <c r="F19" s="15"/>
      <c r="G19" s="15"/>
      <c r="H19" s="15"/>
      <c r="I19" s="16"/>
      <c r="J19" s="16"/>
      <c r="K19" s="15"/>
      <c r="L19" s="15"/>
      <c r="M19" s="15"/>
      <c r="N19" s="15"/>
      <c r="O19" s="15"/>
    </row>
    <row r="20" customFormat="false" ht="25.5" hidden="false" customHeight="true" outlineLevel="0" collapsed="false">
      <c r="A20" s="4" t="s">
        <v>102</v>
      </c>
      <c r="B20" s="4" t="s">
        <v>103</v>
      </c>
      <c r="C20" s="4" t="s">
        <v>104</v>
      </c>
      <c r="D20" s="15"/>
      <c r="E20" s="15"/>
      <c r="F20" s="15"/>
      <c r="G20" s="15"/>
      <c r="H20" s="15"/>
      <c r="I20" s="15"/>
      <c r="J20" s="16"/>
      <c r="K20" s="16"/>
      <c r="L20" s="15"/>
      <c r="M20" s="15"/>
      <c r="N20" s="15"/>
      <c r="O20" s="15"/>
    </row>
    <row r="21" customFormat="false" ht="25.5" hidden="false" customHeight="true" outlineLevel="0" collapsed="false">
      <c r="A21" s="4" t="s">
        <v>105</v>
      </c>
      <c r="B21" s="5" t="s">
        <v>106</v>
      </c>
      <c r="C21" s="4" t="s">
        <v>107</v>
      </c>
      <c r="D21" s="15"/>
      <c r="E21" s="15"/>
      <c r="F21" s="15"/>
      <c r="G21" s="15"/>
      <c r="H21" s="15"/>
      <c r="I21" s="15"/>
      <c r="J21" s="15"/>
      <c r="K21" s="16"/>
      <c r="L21" s="15"/>
      <c r="M21" s="15"/>
      <c r="N21" s="15"/>
      <c r="O21" s="15"/>
    </row>
    <row r="22" customFormat="false" ht="30" hidden="false" customHeight="true" outlineLevel="0" collapsed="false">
      <c r="A22" s="12" t="s">
        <v>108</v>
      </c>
      <c r="B22" s="13" t="s">
        <v>109</v>
      </c>
      <c r="C22" s="13" t="s">
        <v>110</v>
      </c>
      <c r="D22" s="15"/>
      <c r="E22" s="15"/>
      <c r="F22" s="15"/>
      <c r="G22" s="15"/>
      <c r="H22" s="15"/>
      <c r="I22" s="15"/>
      <c r="J22" s="15"/>
      <c r="K22" s="15"/>
      <c r="L22" s="14"/>
      <c r="M22" s="14"/>
      <c r="N22" s="15"/>
      <c r="O22" s="15"/>
    </row>
    <row r="23" customFormat="false" ht="25.5" hidden="false" customHeight="true" outlineLevel="0" collapsed="false">
      <c r="A23" s="4" t="s">
        <v>111</v>
      </c>
      <c r="B23" s="4" t="s">
        <v>112</v>
      </c>
      <c r="C23" s="4" t="s">
        <v>113</v>
      </c>
      <c r="D23" s="15"/>
      <c r="E23" s="15"/>
      <c r="F23" s="15"/>
      <c r="G23" s="15"/>
      <c r="H23" s="15"/>
      <c r="I23" s="15"/>
      <c r="J23" s="15"/>
      <c r="K23" s="15"/>
      <c r="L23" s="16"/>
      <c r="M23" s="15"/>
      <c r="N23" s="15"/>
      <c r="O23" s="15"/>
    </row>
    <row r="24" customFormat="false" ht="25.5" hidden="false" customHeight="true" outlineLevel="0" collapsed="false">
      <c r="A24" s="4" t="s">
        <v>114</v>
      </c>
      <c r="B24" s="4" t="s">
        <v>115</v>
      </c>
      <c r="C24" s="4" t="s">
        <v>116</v>
      </c>
      <c r="D24" s="15"/>
      <c r="E24" s="15"/>
      <c r="F24" s="15"/>
      <c r="G24" s="15"/>
      <c r="H24" s="15"/>
      <c r="I24" s="15"/>
      <c r="J24" s="15"/>
      <c r="K24" s="15"/>
      <c r="L24" s="16"/>
      <c r="M24" s="16"/>
      <c r="N24" s="15"/>
      <c r="O24" s="15"/>
    </row>
    <row r="25" customFormat="false" ht="25.5" hidden="false" customHeight="true" outlineLevel="0" collapsed="false">
      <c r="A25" s="5" t="s">
        <v>117</v>
      </c>
      <c r="B25" s="4" t="s">
        <v>118</v>
      </c>
      <c r="C25" s="4" t="s">
        <v>119</v>
      </c>
      <c r="D25" s="15"/>
      <c r="E25" s="15"/>
      <c r="F25" s="15"/>
      <c r="G25" s="15"/>
      <c r="H25" s="15"/>
      <c r="I25" s="15"/>
      <c r="J25" s="15"/>
      <c r="K25" s="15"/>
      <c r="L25" s="15"/>
      <c r="M25" s="16"/>
      <c r="N25" s="15"/>
      <c r="O25" s="15"/>
    </row>
    <row r="26" customFormat="false" ht="30" hidden="false" customHeight="true" outlineLevel="0" collapsed="false">
      <c r="A26" s="12" t="s">
        <v>120</v>
      </c>
      <c r="B26" s="12" t="s">
        <v>121</v>
      </c>
      <c r="C26" s="13" t="s">
        <v>122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4"/>
      <c r="O26" s="14"/>
    </row>
    <row r="27" customFormat="false" ht="25.5" hidden="false" customHeight="true" outlineLevel="0" collapsed="false">
      <c r="A27" s="5" t="s">
        <v>123</v>
      </c>
      <c r="B27" s="4" t="s">
        <v>124</v>
      </c>
      <c r="C27" s="4" t="s">
        <v>125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16"/>
    </row>
    <row r="28" customFormat="false" ht="25.5" hidden="false" customHeight="true" outlineLevel="0" collapsed="false">
      <c r="A28" s="4" t="s">
        <v>126</v>
      </c>
      <c r="B28" s="4" t="s">
        <v>127</v>
      </c>
      <c r="C28" s="4" t="s">
        <v>128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</row>
    <row r="30" customFormat="false" ht="30" hidden="false" customHeight="true" outlineLevel="0" collapsed="false">
      <c r="A30" s="17" t="s">
        <v>129</v>
      </c>
      <c r="B30" s="17" t="s">
        <v>127</v>
      </c>
      <c r="C30" s="17" t="s">
        <v>130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customFormat="false" ht="19.5" hidden="false" customHeight="true" outlineLevel="0" collapsed="false">
      <c r="A31" s="9" t="s">
        <v>131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</sheetData>
  <mergeCells count="3">
    <mergeCell ref="A1:O1"/>
    <mergeCell ref="A2:O2"/>
    <mergeCell ref="A31:O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6"/>
  </cols>
  <sheetData>
    <row r="1" customFormat="false" ht="30" hidden="false" customHeight="true" outlineLevel="0" collapsed="false">
      <c r="A1" s="1" t="s">
        <v>132</v>
      </c>
      <c r="B1" s="1"/>
      <c r="C1" s="1"/>
      <c r="D1" s="1"/>
      <c r="E1" s="1"/>
    </row>
    <row r="2" customFormat="false" ht="18" hidden="false" customHeight="true" outlineLevel="0" collapsed="false">
      <c r="A2" s="2" t="s">
        <v>133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</row>
    <row r="5" customFormat="false" ht="43.5" hidden="false" customHeight="true" outlineLevel="0" collapsed="false">
      <c r="A5" s="19" t="s">
        <v>46</v>
      </c>
      <c r="B5" s="4" t="s">
        <v>139</v>
      </c>
      <c r="C5" s="4" t="s">
        <v>140</v>
      </c>
      <c r="D5" s="4" t="s">
        <v>141</v>
      </c>
      <c r="E5" s="5" t="s">
        <v>142</v>
      </c>
    </row>
    <row r="6" customFormat="false" ht="43.5" hidden="false" customHeight="true" outlineLevel="0" collapsed="false">
      <c r="A6" s="19" t="s">
        <v>49</v>
      </c>
      <c r="B6" s="5" t="s">
        <v>143</v>
      </c>
      <c r="C6" s="5" t="s">
        <v>144</v>
      </c>
      <c r="D6" s="4" t="s">
        <v>145</v>
      </c>
      <c r="E6" s="4" t="s">
        <v>146</v>
      </c>
    </row>
    <row r="7" customFormat="false" ht="43.5" hidden="false" customHeight="true" outlineLevel="0" collapsed="false">
      <c r="A7" s="19" t="s">
        <v>52</v>
      </c>
      <c r="B7" s="4" t="s">
        <v>147</v>
      </c>
      <c r="C7" s="5" t="s">
        <v>148</v>
      </c>
      <c r="D7" s="4" t="s">
        <v>149</v>
      </c>
      <c r="E7" s="4" t="s">
        <v>150</v>
      </c>
    </row>
    <row r="8" customFormat="false" ht="43.5" hidden="false" customHeight="true" outlineLevel="0" collapsed="false">
      <c r="A8" s="19" t="s">
        <v>54</v>
      </c>
      <c r="B8" s="4" t="s">
        <v>151</v>
      </c>
      <c r="C8" s="4" t="s">
        <v>152</v>
      </c>
      <c r="D8" s="4" t="s">
        <v>153</v>
      </c>
      <c r="E8" s="4" t="s">
        <v>154</v>
      </c>
    </row>
    <row r="9" customFormat="false" ht="43.5" hidden="false" customHeight="true" outlineLevel="0" collapsed="false">
      <c r="A9" s="19" t="s">
        <v>56</v>
      </c>
      <c r="B9" s="4" t="s">
        <v>155</v>
      </c>
      <c r="C9" s="5" t="s">
        <v>156</v>
      </c>
      <c r="D9" s="4" t="s">
        <v>157</v>
      </c>
      <c r="E9" s="4" t="s">
        <v>158</v>
      </c>
    </row>
    <row r="11" customFormat="false" ht="25.5" hidden="false" customHeight="true" outlineLevel="0" collapsed="false">
      <c r="A11" s="3" t="s">
        <v>2</v>
      </c>
      <c r="B11" s="3" t="s">
        <v>159</v>
      </c>
      <c r="C11" s="3" t="s">
        <v>160</v>
      </c>
      <c r="D11" s="3" t="s">
        <v>161</v>
      </c>
      <c r="E11" s="3" t="s">
        <v>162</v>
      </c>
    </row>
    <row r="12" customFormat="false" ht="30" hidden="false" customHeight="true" outlineLevel="0" collapsed="false">
      <c r="A12" s="4" t="s">
        <v>163</v>
      </c>
      <c r="B12" s="4" t="s">
        <v>164</v>
      </c>
      <c r="C12" s="20" t="s">
        <v>165</v>
      </c>
      <c r="D12" s="4" t="s">
        <v>166</v>
      </c>
      <c r="E12" s="4" t="s">
        <v>167</v>
      </c>
    </row>
    <row r="13" customFormat="false" ht="30" hidden="false" customHeight="true" outlineLevel="0" collapsed="false">
      <c r="A13" s="4" t="s">
        <v>168</v>
      </c>
      <c r="B13" s="4" t="s">
        <v>169</v>
      </c>
      <c r="C13" s="20" t="s">
        <v>170</v>
      </c>
      <c r="D13" s="4" t="s">
        <v>171</v>
      </c>
      <c r="E13" s="4" t="s">
        <v>172</v>
      </c>
    </row>
    <row r="14" customFormat="false" ht="30" hidden="false" customHeight="true" outlineLevel="0" collapsed="false">
      <c r="A14" s="4" t="s">
        <v>173</v>
      </c>
      <c r="B14" s="4" t="s">
        <v>174</v>
      </c>
      <c r="C14" s="20" t="s">
        <v>175</v>
      </c>
      <c r="D14" s="4" t="s">
        <v>176</v>
      </c>
      <c r="E14" s="4" t="s">
        <v>177</v>
      </c>
    </row>
    <row r="15" customFormat="false" ht="30" hidden="false" customHeight="true" outlineLevel="0" collapsed="false">
      <c r="A15" s="4" t="s">
        <v>178</v>
      </c>
      <c r="B15" s="4" t="s">
        <v>179</v>
      </c>
      <c r="C15" s="20" t="s">
        <v>180</v>
      </c>
      <c r="D15" s="4" t="s">
        <v>166</v>
      </c>
      <c r="E15" s="5" t="s">
        <v>181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182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10" t="s">
        <v>183</v>
      </c>
      <c r="B2" s="10"/>
      <c r="C2" s="10"/>
      <c r="D2" s="10"/>
      <c r="E2" s="10"/>
      <c r="F2" s="10"/>
    </row>
    <row r="4" customFormat="false" ht="17.15" hidden="false" customHeight="false" outlineLevel="0" collapsed="false">
      <c r="A4" s="21" t="s">
        <v>184</v>
      </c>
      <c r="B4" s="21"/>
      <c r="C4" s="21"/>
      <c r="D4" s="21"/>
      <c r="E4" s="21"/>
      <c r="F4" s="21"/>
    </row>
    <row r="5" customFormat="false" ht="25.5" hidden="false" customHeight="true" outlineLevel="0" collapsed="false">
      <c r="A5" s="11" t="s">
        <v>185</v>
      </c>
      <c r="B5" s="3" t="s">
        <v>186</v>
      </c>
      <c r="C5" s="3" t="s">
        <v>187</v>
      </c>
      <c r="D5" s="3" t="s">
        <v>188</v>
      </c>
      <c r="E5" s="11" t="s">
        <v>189</v>
      </c>
      <c r="F5" s="3" t="s">
        <v>190</v>
      </c>
    </row>
    <row r="6" customFormat="false" ht="21.75" hidden="false" customHeight="true" outlineLevel="0" collapsed="false">
      <c r="A6" s="20" t="n">
        <v>1</v>
      </c>
      <c r="B6" s="5" t="s">
        <v>191</v>
      </c>
      <c r="C6" s="5" t="s">
        <v>192</v>
      </c>
      <c r="D6" s="22" t="n">
        <v>10031</v>
      </c>
      <c r="E6" s="23" t="n">
        <v>4.89</v>
      </c>
      <c r="F6" s="5" t="s">
        <v>193</v>
      </c>
    </row>
    <row r="7" customFormat="false" ht="21.75" hidden="false" customHeight="true" outlineLevel="0" collapsed="false">
      <c r="A7" s="20" t="n">
        <v>2</v>
      </c>
      <c r="B7" s="5" t="s">
        <v>194</v>
      </c>
      <c r="C7" s="5" t="s">
        <v>195</v>
      </c>
      <c r="D7" s="22" t="n">
        <v>4288</v>
      </c>
      <c r="E7" s="23" t="n">
        <v>2.09</v>
      </c>
      <c r="F7" s="5" t="s">
        <v>196</v>
      </c>
    </row>
    <row r="8" customFormat="false" ht="21.75" hidden="false" customHeight="true" outlineLevel="0" collapsed="false">
      <c r="A8" s="20" t="n">
        <v>3</v>
      </c>
      <c r="B8" s="5" t="s">
        <v>197</v>
      </c>
      <c r="C8" s="5" t="s">
        <v>192</v>
      </c>
      <c r="D8" s="22" t="n">
        <v>240</v>
      </c>
      <c r="E8" s="23" t="n">
        <v>0.23</v>
      </c>
      <c r="F8" s="5" t="s">
        <v>198</v>
      </c>
    </row>
    <row r="9" customFormat="false" ht="21.75" hidden="false" customHeight="true" outlineLevel="0" collapsed="false">
      <c r="A9" s="20" t="n">
        <v>4</v>
      </c>
      <c r="B9" s="5" t="s">
        <v>199</v>
      </c>
      <c r="C9" s="5" t="s">
        <v>200</v>
      </c>
      <c r="D9" s="22" t="n">
        <v>2705</v>
      </c>
      <c r="E9" s="23" t="n">
        <v>2.63</v>
      </c>
      <c r="F9" s="5" t="s">
        <v>201</v>
      </c>
    </row>
    <row r="10" customFormat="false" ht="21.75" hidden="false" customHeight="true" outlineLevel="0" collapsed="false">
      <c r="A10" s="20" t="n">
        <v>5</v>
      </c>
      <c r="B10" s="5" t="s">
        <v>202</v>
      </c>
      <c r="C10" s="5" t="s">
        <v>195</v>
      </c>
      <c r="D10" s="22" t="n">
        <v>216</v>
      </c>
      <c r="E10" s="23" t="n">
        <v>0.21</v>
      </c>
      <c r="F10" s="5" t="s">
        <v>203</v>
      </c>
    </row>
    <row r="11" customFormat="false" ht="21.75" hidden="false" customHeight="true" outlineLevel="0" collapsed="false">
      <c r="A11" s="13"/>
      <c r="B11" s="13" t="s">
        <v>204</v>
      </c>
      <c r="C11" s="13"/>
      <c r="D11" s="24" t="n">
        <f aca="false">SUM(D6:D10)</f>
        <v>17480</v>
      </c>
      <c r="E11" s="25" t="n">
        <f aca="false">SUM(E6:E10)</f>
        <v>10.05</v>
      </c>
      <c r="F11" s="13"/>
    </row>
    <row r="12" customFormat="false" ht="21.75" hidden="false" customHeight="true" outlineLevel="0" collapsed="false">
      <c r="A12" s="8"/>
      <c r="B12" s="26" t="s">
        <v>205</v>
      </c>
      <c r="C12" s="8"/>
      <c r="D12" s="8"/>
      <c r="E12" s="27" t="n">
        <f aca="false">E11*2</f>
        <v>20.1</v>
      </c>
      <c r="F12" s="26" t="s">
        <v>206</v>
      </c>
    </row>
    <row r="13" customFormat="false" ht="19.5" hidden="false" customHeight="true" outlineLevel="0" collapsed="false">
      <c r="A13" s="9" t="s">
        <v>207</v>
      </c>
      <c r="B13" s="9"/>
      <c r="C13" s="9"/>
      <c r="D13" s="9"/>
      <c r="E13" s="9"/>
      <c r="F13" s="9"/>
    </row>
    <row r="15" customFormat="false" ht="17.15" hidden="false" customHeight="false" outlineLevel="0" collapsed="false">
      <c r="A15" s="21" t="s">
        <v>208</v>
      </c>
      <c r="B15" s="21"/>
      <c r="C15" s="21"/>
      <c r="D15" s="21"/>
      <c r="E15" s="21"/>
      <c r="F15" s="21"/>
    </row>
    <row r="16" customFormat="false" ht="25.5" hidden="false" customHeight="true" outlineLevel="0" collapsed="false">
      <c r="A16" s="11" t="s">
        <v>185</v>
      </c>
      <c r="B16" s="3" t="s">
        <v>209</v>
      </c>
      <c r="C16" s="3" t="s">
        <v>210</v>
      </c>
      <c r="D16" s="3" t="s">
        <v>211</v>
      </c>
      <c r="E16" s="3" t="s">
        <v>2</v>
      </c>
      <c r="F16" s="3" t="s">
        <v>162</v>
      </c>
    </row>
    <row r="17" customFormat="false" ht="21.75" hidden="false" customHeight="true" outlineLevel="0" collapsed="false">
      <c r="A17" s="20" t="n">
        <v>1</v>
      </c>
      <c r="B17" s="4" t="s">
        <v>212</v>
      </c>
      <c r="C17" s="20" t="n">
        <v>12</v>
      </c>
      <c r="D17" s="28" t="n">
        <v>960</v>
      </c>
      <c r="E17" s="20" t="s">
        <v>213</v>
      </c>
      <c r="F17" s="5" t="s">
        <v>214</v>
      </c>
    </row>
    <row r="18" customFormat="false" ht="21.75" hidden="false" customHeight="true" outlineLevel="0" collapsed="false">
      <c r="A18" s="20" t="n">
        <v>2</v>
      </c>
      <c r="B18" s="4" t="s">
        <v>215</v>
      </c>
      <c r="C18" s="20" t="n">
        <v>5</v>
      </c>
      <c r="D18" s="28" t="n">
        <v>400</v>
      </c>
      <c r="E18" s="20" t="s">
        <v>213</v>
      </c>
      <c r="F18" s="4" t="s">
        <v>216</v>
      </c>
    </row>
    <row r="19" customFormat="false" ht="21.75" hidden="false" customHeight="true" outlineLevel="0" collapsed="false">
      <c r="A19" s="20" t="n">
        <v>3</v>
      </c>
      <c r="B19" s="4" t="s">
        <v>217</v>
      </c>
      <c r="C19" s="20" t="n">
        <v>2</v>
      </c>
      <c r="D19" s="28" t="n">
        <v>160</v>
      </c>
      <c r="E19" s="20" t="s">
        <v>213</v>
      </c>
      <c r="F19" s="4" t="s">
        <v>218</v>
      </c>
    </row>
    <row r="20" customFormat="false" ht="21.75" hidden="false" customHeight="true" outlineLevel="0" collapsed="false">
      <c r="A20" s="20" t="n">
        <v>4</v>
      </c>
      <c r="B20" s="4" t="s">
        <v>219</v>
      </c>
      <c r="C20" s="20" t="n">
        <v>1</v>
      </c>
      <c r="D20" s="28" t="n">
        <v>80</v>
      </c>
      <c r="E20" s="20" t="s">
        <v>220</v>
      </c>
      <c r="F20" s="4" t="s">
        <v>221</v>
      </c>
    </row>
    <row r="21" customFormat="false" ht="21.75" hidden="false" customHeight="true" outlineLevel="0" collapsed="false">
      <c r="A21" s="8"/>
      <c r="B21" s="8" t="s">
        <v>204</v>
      </c>
      <c r="C21" s="8" t="n">
        <f aca="false">SUM(C17:C20)</f>
        <v>20</v>
      </c>
      <c r="D21" s="29" t="n">
        <f aca="false">SUM(D17:D20)</f>
        <v>1600</v>
      </c>
      <c r="E21" s="8"/>
      <c r="F21" s="8" t="s">
        <v>222</v>
      </c>
    </row>
    <row r="22" customFormat="false" ht="19.5" hidden="false" customHeight="true" outlineLevel="0" collapsed="false">
      <c r="A22" s="9" t="s">
        <v>223</v>
      </c>
      <c r="B22" s="9"/>
      <c r="C22" s="9"/>
      <c r="D22" s="9"/>
      <c r="E22" s="9"/>
      <c r="F22" s="9"/>
    </row>
    <row r="24" customFormat="false" ht="17.15" hidden="false" customHeight="false" outlineLevel="0" collapsed="false">
      <c r="A24" s="21" t="s">
        <v>224</v>
      </c>
      <c r="B24" s="21"/>
      <c r="C24" s="21"/>
      <c r="D24" s="21"/>
      <c r="E24" s="21"/>
      <c r="F24" s="21"/>
    </row>
    <row r="25" customFormat="false" ht="25.5" hidden="false" customHeight="true" outlineLevel="0" collapsed="false">
      <c r="A25" s="11" t="s">
        <v>185</v>
      </c>
      <c r="B25" s="11" t="s">
        <v>225</v>
      </c>
      <c r="C25" s="11" t="s">
        <v>226</v>
      </c>
      <c r="D25" s="11" t="s">
        <v>227</v>
      </c>
      <c r="E25" s="11" t="s">
        <v>228</v>
      </c>
      <c r="F25" s="11" t="s">
        <v>229</v>
      </c>
    </row>
    <row r="26" customFormat="false" ht="21.75" hidden="false" customHeight="true" outlineLevel="0" collapsed="false">
      <c r="A26" s="20" t="n">
        <v>1</v>
      </c>
      <c r="B26" s="5" t="s">
        <v>230</v>
      </c>
      <c r="C26" s="19" t="s">
        <v>231</v>
      </c>
      <c r="D26" s="20" t="n">
        <v>64</v>
      </c>
      <c r="E26" s="28" t="n">
        <v>1024</v>
      </c>
      <c r="F26" s="28" t="n">
        <v>30720</v>
      </c>
    </row>
    <row r="27" customFormat="false" ht="21.75" hidden="false" customHeight="true" outlineLevel="0" collapsed="false">
      <c r="A27" s="20" t="n">
        <v>2</v>
      </c>
      <c r="B27" s="5" t="s">
        <v>232</v>
      </c>
      <c r="C27" s="19" t="s">
        <v>231</v>
      </c>
      <c r="D27" s="20" t="n">
        <v>64</v>
      </c>
      <c r="E27" s="28" t="n">
        <v>1024</v>
      </c>
      <c r="F27" s="28" t="n">
        <v>30720</v>
      </c>
    </row>
    <row r="28" customFormat="false" ht="21.75" hidden="false" customHeight="true" outlineLevel="0" collapsed="false">
      <c r="A28" s="20" t="n">
        <v>3</v>
      </c>
      <c r="B28" s="5" t="s">
        <v>233</v>
      </c>
      <c r="C28" s="19" t="s">
        <v>234</v>
      </c>
      <c r="D28" s="20" t="n">
        <v>64</v>
      </c>
      <c r="E28" s="28" t="n">
        <v>1024</v>
      </c>
      <c r="F28" s="28" t="n">
        <v>30720</v>
      </c>
    </row>
    <row r="29" customFormat="false" ht="21.75" hidden="false" customHeight="true" outlineLevel="0" collapsed="false">
      <c r="A29" s="20" t="n">
        <v>4</v>
      </c>
      <c r="B29" s="5" t="s">
        <v>235</v>
      </c>
      <c r="C29" s="19" t="s">
        <v>234</v>
      </c>
      <c r="D29" s="20" t="n">
        <v>64</v>
      </c>
      <c r="E29" s="28" t="n">
        <v>1024</v>
      </c>
      <c r="F29" s="28" t="n">
        <v>30720</v>
      </c>
    </row>
    <row r="30" customFormat="false" ht="21.75" hidden="false" customHeight="true" outlineLevel="0" collapsed="false">
      <c r="A30" s="20" t="n">
        <v>5</v>
      </c>
      <c r="B30" s="5" t="s">
        <v>236</v>
      </c>
      <c r="C30" s="19" t="s">
        <v>234</v>
      </c>
      <c r="D30" s="20" t="n">
        <v>64</v>
      </c>
      <c r="E30" s="28" t="n">
        <v>1024</v>
      </c>
      <c r="F30" s="28" t="n">
        <v>30720</v>
      </c>
    </row>
    <row r="31" customFormat="false" ht="21.75" hidden="false" customHeight="true" outlineLevel="0" collapsed="false">
      <c r="A31" s="8"/>
      <c r="B31" s="8" t="s">
        <v>237</v>
      </c>
      <c r="C31" s="8"/>
      <c r="D31" s="8" t="n">
        <f aca="false">SUM(D26:D30)</f>
        <v>320</v>
      </c>
      <c r="E31" s="29" t="n">
        <f aca="false">SUM(E26:E30)</f>
        <v>5120</v>
      </c>
      <c r="F31" s="29" t="n">
        <f aca="false">SUM(F26:F30)</f>
        <v>153600</v>
      </c>
    </row>
    <row r="33" customFormat="false" ht="25.5" hidden="false" customHeight="true" outlineLevel="0" collapsed="false">
      <c r="A33" s="11" t="s">
        <v>185</v>
      </c>
      <c r="B33" s="3" t="s">
        <v>238</v>
      </c>
      <c r="C33" s="3" t="s">
        <v>239</v>
      </c>
      <c r="D33" s="3" t="s">
        <v>240</v>
      </c>
      <c r="E33" s="3"/>
      <c r="F33" s="3" t="s">
        <v>209</v>
      </c>
    </row>
    <row r="34" customFormat="false" ht="21.75" hidden="false" customHeight="true" outlineLevel="0" collapsed="false">
      <c r="A34" s="20" t="n">
        <v>1</v>
      </c>
      <c r="B34" s="5" t="s">
        <v>241</v>
      </c>
      <c r="C34" s="28" t="n">
        <v>102400</v>
      </c>
      <c r="D34" s="30" t="n">
        <f aca="false">C34/1024</f>
        <v>100</v>
      </c>
      <c r="E34" s="4"/>
      <c r="F34" s="4" t="s">
        <v>242</v>
      </c>
    </row>
    <row r="35" customFormat="false" ht="21.75" hidden="false" customHeight="true" outlineLevel="0" collapsed="false">
      <c r="A35" s="20" t="n">
        <v>2</v>
      </c>
      <c r="B35" s="5" t="s">
        <v>243</v>
      </c>
      <c r="C35" s="28" t="n">
        <v>51200</v>
      </c>
      <c r="D35" s="30" t="n">
        <f aca="false">C35/1024</f>
        <v>50</v>
      </c>
      <c r="E35" s="4"/>
      <c r="F35" s="4" t="s">
        <v>244</v>
      </c>
    </row>
    <row r="36" customFormat="false" ht="21.75" hidden="false" customHeight="true" outlineLevel="0" collapsed="false">
      <c r="A36" s="20" t="n">
        <v>3</v>
      </c>
      <c r="B36" s="4" t="s">
        <v>245</v>
      </c>
      <c r="C36" s="28" t="n">
        <v>153600</v>
      </c>
      <c r="D36" s="30" t="n">
        <f aca="false">C36/1024</f>
        <v>150</v>
      </c>
      <c r="E36" s="4"/>
      <c r="F36" s="5" t="s">
        <v>246</v>
      </c>
    </row>
  </sheetData>
  <mergeCells count="7">
    <mergeCell ref="A1:F1"/>
    <mergeCell ref="A2:F2"/>
    <mergeCell ref="A4:F4"/>
    <mergeCell ref="A13:F13"/>
    <mergeCell ref="A15:F15"/>
    <mergeCell ref="A22:F2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247</v>
      </c>
      <c r="B1" s="1"/>
      <c r="C1" s="1"/>
      <c r="D1" s="1"/>
      <c r="E1" s="1"/>
    </row>
    <row r="2" customFormat="false" ht="18" hidden="false" customHeight="true" outlineLevel="0" collapsed="false">
      <c r="A2" s="2" t="s">
        <v>248</v>
      </c>
      <c r="B2" s="2"/>
      <c r="C2" s="2"/>
      <c r="D2" s="2"/>
      <c r="E2" s="2"/>
    </row>
    <row r="4" customFormat="false" ht="17.15" hidden="false" customHeight="false" outlineLevel="0" collapsed="false">
      <c r="A4" s="21" t="s">
        <v>249</v>
      </c>
      <c r="B4" s="21"/>
      <c r="C4" s="21"/>
      <c r="D4" s="21"/>
      <c r="E4" s="21"/>
    </row>
    <row r="5" customFormat="false" ht="25.5" hidden="false" customHeight="true" outlineLevel="0" collapsed="false">
      <c r="A5" s="11" t="s">
        <v>185</v>
      </c>
      <c r="B5" s="3" t="s">
        <v>250</v>
      </c>
      <c r="C5" s="3" t="s">
        <v>251</v>
      </c>
      <c r="D5" s="3" t="s">
        <v>252</v>
      </c>
      <c r="E5" s="3" t="s">
        <v>253</v>
      </c>
    </row>
    <row r="6" customFormat="false" ht="24" hidden="false" customHeight="true" outlineLevel="0" collapsed="false">
      <c r="A6" s="20" t="n">
        <v>1</v>
      </c>
      <c r="B6" s="4" t="s">
        <v>254</v>
      </c>
      <c r="C6" s="31" t="n">
        <v>4</v>
      </c>
      <c r="D6" s="20" t="s">
        <v>255</v>
      </c>
      <c r="E6" s="4" t="s">
        <v>256</v>
      </c>
    </row>
    <row r="7" customFormat="false" ht="24" hidden="false" customHeight="true" outlineLevel="0" collapsed="false">
      <c r="A7" s="20" t="n">
        <v>2</v>
      </c>
      <c r="B7" s="4" t="s">
        <v>257</v>
      </c>
      <c r="C7" s="31" t="n">
        <v>2</v>
      </c>
      <c r="D7" s="20" t="s">
        <v>255</v>
      </c>
      <c r="E7" s="4" t="s">
        <v>258</v>
      </c>
    </row>
    <row r="8" customFormat="false" ht="24" hidden="false" customHeight="true" outlineLevel="0" collapsed="false">
      <c r="A8" s="20" t="n">
        <v>3</v>
      </c>
      <c r="B8" s="4" t="s">
        <v>259</v>
      </c>
      <c r="C8" s="31" t="n">
        <v>8</v>
      </c>
      <c r="D8" s="20" t="s">
        <v>260</v>
      </c>
      <c r="E8" s="5" t="s">
        <v>261</v>
      </c>
    </row>
    <row r="9" customFormat="false" ht="24" hidden="false" customHeight="true" outlineLevel="0" collapsed="false">
      <c r="A9" s="20" t="n">
        <v>4</v>
      </c>
      <c r="B9" s="5" t="s">
        <v>262</v>
      </c>
      <c r="C9" s="31" t="n">
        <v>80000000</v>
      </c>
      <c r="D9" s="20" t="s">
        <v>263</v>
      </c>
      <c r="E9" s="4" t="s">
        <v>264</v>
      </c>
    </row>
    <row r="10" customFormat="false" ht="24" hidden="false" customHeight="true" outlineLevel="0" collapsed="false">
      <c r="A10" s="20" t="n">
        <v>5</v>
      </c>
      <c r="B10" s="4" t="s">
        <v>265</v>
      </c>
      <c r="C10" s="31" t="n">
        <v>1000</v>
      </c>
      <c r="D10" s="20" t="s">
        <v>266</v>
      </c>
      <c r="E10" s="4" t="s">
        <v>267</v>
      </c>
    </row>
    <row r="11" customFormat="false" ht="24" hidden="false" customHeight="true" outlineLevel="0" collapsed="false">
      <c r="A11" s="20" t="n">
        <v>6</v>
      </c>
      <c r="B11" s="4" t="s">
        <v>268</v>
      </c>
      <c r="C11" s="31" t="n">
        <v>347794165</v>
      </c>
      <c r="D11" s="20" t="s">
        <v>263</v>
      </c>
      <c r="E11" s="5" t="s">
        <v>269</v>
      </c>
    </row>
    <row r="13" customFormat="false" ht="17.15" hidden="false" customHeight="false" outlineLevel="0" collapsed="false">
      <c r="A13" s="21" t="s">
        <v>270</v>
      </c>
      <c r="B13" s="21"/>
      <c r="C13" s="21"/>
      <c r="D13" s="21"/>
      <c r="E13" s="21"/>
    </row>
    <row r="14" customFormat="false" ht="25.5" hidden="false" customHeight="true" outlineLevel="0" collapsed="false">
      <c r="A14" s="11" t="s">
        <v>185</v>
      </c>
      <c r="B14" s="3" t="s">
        <v>271</v>
      </c>
      <c r="C14" s="3" t="s">
        <v>251</v>
      </c>
      <c r="D14" s="3" t="s">
        <v>252</v>
      </c>
      <c r="E14" s="3" t="s">
        <v>272</v>
      </c>
    </row>
    <row r="15" customFormat="false" ht="24" hidden="false" customHeight="true" outlineLevel="0" collapsed="false">
      <c r="A15" s="20" t="n">
        <v>1</v>
      </c>
      <c r="B15" s="4" t="s">
        <v>273</v>
      </c>
      <c r="C15" s="32" t="n">
        <f aca="false">(C6/C8)-(C7/C8)</f>
        <v>0.25</v>
      </c>
      <c r="D15" s="20" t="s">
        <v>274</v>
      </c>
      <c r="E15" s="5" t="s">
        <v>275</v>
      </c>
    </row>
    <row r="16" customFormat="false" ht="24" hidden="false" customHeight="true" outlineLevel="0" collapsed="false">
      <c r="A16" s="20" t="n">
        <v>2</v>
      </c>
      <c r="B16" s="4" t="s">
        <v>276</v>
      </c>
      <c r="C16" s="22" t="n">
        <f aca="false">C15*C9*C10</f>
        <v>20000000000</v>
      </c>
      <c r="D16" s="20" t="s">
        <v>263</v>
      </c>
      <c r="E16" s="4" t="s">
        <v>277</v>
      </c>
    </row>
    <row r="17" customFormat="false" ht="24" hidden="false" customHeight="true" outlineLevel="0" collapsed="false">
      <c r="A17" s="20" t="n">
        <v>3</v>
      </c>
      <c r="B17" s="4" t="s">
        <v>278</v>
      </c>
      <c r="C17" s="22" t="n">
        <f aca="false">C11</f>
        <v>347794165</v>
      </c>
      <c r="D17" s="20" t="s">
        <v>263</v>
      </c>
      <c r="E17" s="4" t="s">
        <v>279</v>
      </c>
    </row>
    <row r="18" customFormat="false" ht="24" hidden="false" customHeight="true" outlineLevel="0" collapsed="false">
      <c r="A18" s="33" t="n">
        <v>4</v>
      </c>
      <c r="B18" s="26" t="s">
        <v>280</v>
      </c>
      <c r="C18" s="27" t="n">
        <f aca="false">C16/C17</f>
        <v>57.505277582791</v>
      </c>
      <c r="D18" s="34" t="s">
        <v>281</v>
      </c>
      <c r="E18" s="8" t="s">
        <v>282</v>
      </c>
    </row>
    <row r="19" customFormat="false" ht="24" hidden="false" customHeight="true" outlineLevel="0" collapsed="false">
      <c r="A19" s="34" t="n">
        <v>5</v>
      </c>
      <c r="B19" s="8" t="s">
        <v>283</v>
      </c>
      <c r="C19" s="27" t="n">
        <f aca="false">365/C18</f>
        <v>6.34724351125</v>
      </c>
      <c r="D19" s="34" t="s">
        <v>284</v>
      </c>
      <c r="E19" s="26" t="s">
        <v>285</v>
      </c>
    </row>
    <row r="20" customFormat="false" ht="24" hidden="false" customHeight="true" outlineLevel="0" collapsed="false">
      <c r="A20" s="20" t="n">
        <v>6</v>
      </c>
      <c r="B20" s="4" t="s">
        <v>286</v>
      </c>
      <c r="C20" s="22" t="n">
        <f aca="false">C16/100000000</f>
        <v>200</v>
      </c>
      <c r="D20" s="20" t="s">
        <v>287</v>
      </c>
      <c r="E20" s="4" t="s">
        <v>288</v>
      </c>
    </row>
    <row r="22" customFormat="false" ht="19.5" hidden="false" customHeight="true" outlineLevel="0" collapsed="false">
      <c r="A22" s="9" t="s">
        <v>289</v>
      </c>
      <c r="B22" s="9"/>
      <c r="C22" s="9"/>
      <c r="D22" s="9"/>
      <c r="E22" s="9"/>
    </row>
    <row r="24" customFormat="false" ht="17.15" hidden="false" customHeight="false" outlineLevel="0" collapsed="false">
      <c r="A24" s="21" t="s">
        <v>290</v>
      </c>
      <c r="B24" s="21"/>
      <c r="C24" s="21"/>
      <c r="D24" s="21"/>
      <c r="E24" s="21"/>
    </row>
    <row r="25" customFormat="false" ht="25.5" hidden="false" customHeight="true" outlineLevel="0" collapsed="false">
      <c r="A25" s="11" t="s">
        <v>185</v>
      </c>
      <c r="B25" s="3" t="s">
        <v>291</v>
      </c>
      <c r="C25" s="3" t="s">
        <v>292</v>
      </c>
      <c r="D25" s="3" t="s">
        <v>293</v>
      </c>
      <c r="E25" s="11" t="s">
        <v>294</v>
      </c>
    </row>
    <row r="26" customFormat="false" ht="21.75" hidden="false" customHeight="true" outlineLevel="0" collapsed="false">
      <c r="A26" s="35" t="n">
        <v>1</v>
      </c>
      <c r="B26" s="36" t="n">
        <v>2</v>
      </c>
      <c r="C26" s="37" t="n">
        <f aca="false">(C6/C8)-(B26/C8)</f>
        <v>0.25</v>
      </c>
      <c r="D26" s="38" t="n">
        <f aca="false">C26*C9*C10/100000000</f>
        <v>200</v>
      </c>
      <c r="E26" s="39" t="n">
        <f aca="false">D26*100000000/C17</f>
        <v>57.505277582791</v>
      </c>
    </row>
    <row r="27" customFormat="false" ht="21.75" hidden="false" customHeight="true" outlineLevel="0" collapsed="false">
      <c r="A27" s="20" t="n">
        <v>2</v>
      </c>
      <c r="B27" s="40" t="n">
        <v>2.5</v>
      </c>
      <c r="C27" s="32" t="n">
        <f aca="false">(C6/C8)-(B27/C8)</f>
        <v>0.1875</v>
      </c>
      <c r="D27" s="22" t="n">
        <f aca="false">C27*C9*C10/100000000</f>
        <v>150</v>
      </c>
      <c r="E27" s="41" t="n">
        <f aca="false">D27*100000000/C17</f>
        <v>43.1289581870932</v>
      </c>
    </row>
    <row r="28" customFormat="false" ht="21.75" hidden="false" customHeight="true" outlineLevel="0" collapsed="false">
      <c r="A28" s="20" t="n">
        <v>3</v>
      </c>
      <c r="B28" s="40" t="n">
        <v>3</v>
      </c>
      <c r="C28" s="32" t="n">
        <f aca="false">(C6/C8)-(B28/C8)</f>
        <v>0.125</v>
      </c>
      <c r="D28" s="22" t="n">
        <f aca="false">C28*C9*C10/100000000</f>
        <v>100</v>
      </c>
      <c r="E28" s="41" t="n">
        <f aca="false">D28*100000000/C17</f>
        <v>28.7526387913955</v>
      </c>
    </row>
    <row r="29" customFormat="false" ht="21.75" hidden="false" customHeight="true" outlineLevel="0" collapsed="false">
      <c r="A29" s="20" t="n">
        <v>4</v>
      </c>
      <c r="B29" s="40" t="n">
        <v>3.5</v>
      </c>
      <c r="C29" s="32" t="n">
        <f aca="false">(C6/C8)-(B29/C8)</f>
        <v>0.0625</v>
      </c>
      <c r="D29" s="22" t="n">
        <f aca="false">C29*C9*C10/100000000</f>
        <v>50</v>
      </c>
      <c r="E29" s="41" t="n">
        <f aca="false">D29*100000000/C17</f>
        <v>14.3763193956977</v>
      </c>
    </row>
    <row r="30" customFormat="false" ht="19.5" hidden="false" customHeight="true" outlineLevel="0" collapsed="false">
      <c r="A30" s="9" t="s">
        <v>295</v>
      </c>
      <c r="B30" s="9"/>
      <c r="C30" s="9"/>
      <c r="D30" s="9"/>
      <c r="E30" s="9"/>
    </row>
  </sheetData>
  <mergeCells count="7">
    <mergeCell ref="A1:E1"/>
    <mergeCell ref="A2:E2"/>
    <mergeCell ref="A4:E4"/>
    <mergeCell ref="A13:E13"/>
    <mergeCell ref="A22:E22"/>
    <mergeCell ref="A24:E24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30"/>
  </cols>
  <sheetData>
    <row r="1" customFormat="false" ht="30" hidden="false" customHeight="true" outlineLevel="0" collapsed="false">
      <c r="A1" s="1" t="s">
        <v>296</v>
      </c>
      <c r="B1" s="1"/>
      <c r="C1" s="1"/>
      <c r="D1" s="1"/>
      <c r="E1" s="1"/>
    </row>
    <row r="2" customFormat="false" ht="18" hidden="false" customHeight="true" outlineLevel="0" collapsed="false">
      <c r="A2" s="2" t="s">
        <v>297</v>
      </c>
      <c r="B2" s="2"/>
      <c r="C2" s="2"/>
      <c r="D2" s="2"/>
      <c r="E2" s="2"/>
    </row>
    <row r="4" customFormat="false" ht="17.15" hidden="false" customHeight="false" outlineLevel="0" collapsed="false">
      <c r="A4" s="21" t="s">
        <v>298</v>
      </c>
      <c r="B4" s="21"/>
      <c r="C4" s="21"/>
      <c r="D4" s="21"/>
      <c r="E4" s="21"/>
    </row>
    <row r="5" customFormat="false" ht="25.5" hidden="false" customHeight="true" outlineLevel="0" collapsed="false">
      <c r="A5" s="11" t="s">
        <v>185</v>
      </c>
      <c r="B5" s="3" t="s">
        <v>299</v>
      </c>
      <c r="C5" s="3" t="s">
        <v>300</v>
      </c>
      <c r="D5" s="3" t="s">
        <v>301</v>
      </c>
      <c r="E5" s="3" t="s">
        <v>302</v>
      </c>
    </row>
    <row r="6" customFormat="false" ht="30" hidden="false" customHeight="true" outlineLevel="0" collapsed="false">
      <c r="A6" s="20" t="n">
        <v>1</v>
      </c>
      <c r="B6" s="4" t="s">
        <v>303</v>
      </c>
      <c r="C6" s="5" t="s">
        <v>304</v>
      </c>
      <c r="D6" s="5" t="s">
        <v>305</v>
      </c>
      <c r="E6" s="4" t="s">
        <v>306</v>
      </c>
    </row>
    <row r="7" customFormat="false" ht="30" hidden="false" customHeight="true" outlineLevel="0" collapsed="false">
      <c r="A7" s="42" t="n">
        <v>2</v>
      </c>
      <c r="B7" s="43" t="s">
        <v>307</v>
      </c>
      <c r="C7" s="43" t="s">
        <v>308</v>
      </c>
      <c r="D7" s="44" t="s">
        <v>309</v>
      </c>
      <c r="E7" s="43" t="s">
        <v>127</v>
      </c>
    </row>
    <row r="8" customFormat="false" ht="30" hidden="false" customHeight="true" outlineLevel="0" collapsed="false">
      <c r="A8" s="35" t="n">
        <v>3</v>
      </c>
      <c r="B8" s="45" t="s">
        <v>310</v>
      </c>
      <c r="C8" s="46" t="s">
        <v>311</v>
      </c>
      <c r="D8" s="45" t="s">
        <v>312</v>
      </c>
      <c r="E8" s="46" t="s">
        <v>313</v>
      </c>
    </row>
    <row r="9" customFormat="false" ht="30" hidden="false" customHeight="true" outlineLevel="0" collapsed="false">
      <c r="A9" s="20" t="n">
        <v>4</v>
      </c>
      <c r="B9" s="4" t="s">
        <v>314</v>
      </c>
      <c r="C9" s="4" t="s">
        <v>315</v>
      </c>
      <c r="D9" s="5" t="s">
        <v>316</v>
      </c>
      <c r="E9" s="4" t="s">
        <v>317</v>
      </c>
    </row>
    <row r="10" customFormat="false" ht="30" hidden="false" customHeight="true" outlineLevel="0" collapsed="false">
      <c r="A10" s="20" t="n">
        <v>5</v>
      </c>
      <c r="B10" s="4" t="s">
        <v>318</v>
      </c>
      <c r="C10" s="5" t="s">
        <v>319</v>
      </c>
      <c r="D10" s="5" t="s">
        <v>320</v>
      </c>
      <c r="E10" s="4" t="s">
        <v>321</v>
      </c>
    </row>
    <row r="11" customFormat="false" ht="30" hidden="false" customHeight="true" outlineLevel="0" collapsed="false">
      <c r="A11" s="20" t="n">
        <v>6</v>
      </c>
      <c r="B11" s="4" t="s">
        <v>322</v>
      </c>
      <c r="C11" s="5" t="s">
        <v>319</v>
      </c>
      <c r="D11" s="5" t="s">
        <v>320</v>
      </c>
      <c r="E11" s="4" t="s">
        <v>323</v>
      </c>
    </row>
    <row r="13" customFormat="false" ht="17.15" hidden="false" customHeight="false" outlineLevel="0" collapsed="false">
      <c r="A13" s="21" t="s">
        <v>324</v>
      </c>
      <c r="B13" s="21"/>
      <c r="C13" s="21"/>
      <c r="D13" s="21"/>
      <c r="E13" s="21"/>
    </row>
    <row r="14" customFormat="false" ht="25.5" hidden="false" customHeight="true" outlineLevel="0" collapsed="false">
      <c r="A14" s="11" t="s">
        <v>185</v>
      </c>
      <c r="B14" s="3" t="s">
        <v>325</v>
      </c>
      <c r="C14" s="3" t="s">
        <v>326</v>
      </c>
      <c r="D14" s="3" t="s">
        <v>327</v>
      </c>
      <c r="E14" s="3" t="s">
        <v>160</v>
      </c>
    </row>
    <row r="15" customFormat="false" ht="25.5" hidden="false" customHeight="true" outlineLevel="0" collapsed="false">
      <c r="A15" s="20" t="n">
        <v>1</v>
      </c>
      <c r="B15" s="4" t="s">
        <v>328</v>
      </c>
      <c r="C15" s="4" t="s">
        <v>127</v>
      </c>
      <c r="D15" s="5" t="s">
        <v>329</v>
      </c>
      <c r="E15" s="20" t="s">
        <v>170</v>
      </c>
    </row>
    <row r="16" customFormat="false" ht="25.5" hidden="false" customHeight="true" outlineLevel="0" collapsed="false">
      <c r="A16" s="20" t="n">
        <v>2</v>
      </c>
      <c r="B16" s="4" t="s">
        <v>330</v>
      </c>
      <c r="C16" s="5" t="s">
        <v>331</v>
      </c>
      <c r="D16" s="4" t="s">
        <v>332</v>
      </c>
      <c r="E16" s="20" t="s">
        <v>170</v>
      </c>
    </row>
    <row r="17" customFormat="false" ht="25.5" hidden="false" customHeight="true" outlineLevel="0" collapsed="false">
      <c r="A17" s="20" t="n">
        <v>3</v>
      </c>
      <c r="B17" s="4" t="s">
        <v>333</v>
      </c>
      <c r="C17" s="4" t="s">
        <v>334</v>
      </c>
      <c r="D17" s="5" t="s">
        <v>335</v>
      </c>
      <c r="E17" s="20" t="s">
        <v>170</v>
      </c>
    </row>
    <row r="18" customFormat="false" ht="25.5" hidden="false" customHeight="true" outlineLevel="0" collapsed="false">
      <c r="A18" s="20" t="n">
        <v>4</v>
      </c>
      <c r="B18" s="4" t="s">
        <v>336</v>
      </c>
      <c r="C18" s="4" t="s">
        <v>337</v>
      </c>
      <c r="D18" s="4" t="s">
        <v>338</v>
      </c>
      <c r="E18" s="20" t="s">
        <v>165</v>
      </c>
    </row>
    <row r="19" customFormat="false" ht="25.5" hidden="false" customHeight="true" outlineLevel="0" collapsed="false">
      <c r="A19" s="20" t="n">
        <v>5</v>
      </c>
      <c r="B19" s="4" t="s">
        <v>339</v>
      </c>
      <c r="C19" s="4" t="s">
        <v>340</v>
      </c>
      <c r="D19" s="4" t="s">
        <v>341</v>
      </c>
      <c r="E19" s="20" t="s">
        <v>165</v>
      </c>
    </row>
    <row r="20" customFormat="false" ht="25.5" hidden="false" customHeight="true" outlineLevel="0" collapsed="false">
      <c r="A20" s="20" t="n">
        <v>6</v>
      </c>
      <c r="B20" s="4" t="s">
        <v>342</v>
      </c>
      <c r="C20" s="5" t="s">
        <v>343</v>
      </c>
      <c r="D20" s="5" t="s">
        <v>344</v>
      </c>
      <c r="E20" s="19" t="s">
        <v>345</v>
      </c>
    </row>
    <row r="21" customFormat="false" ht="25.5" hidden="false" customHeight="true" outlineLevel="0" collapsed="false">
      <c r="A21" s="20" t="n">
        <v>7</v>
      </c>
      <c r="B21" s="4" t="s">
        <v>346</v>
      </c>
      <c r="C21" s="4" t="s">
        <v>347</v>
      </c>
      <c r="D21" s="4" t="s">
        <v>348</v>
      </c>
      <c r="E21" s="20" t="s">
        <v>170</v>
      </c>
    </row>
    <row r="23" customFormat="false" ht="17.15" hidden="false" customHeight="false" outlineLevel="0" collapsed="false">
      <c r="A23" s="21" t="s">
        <v>349</v>
      </c>
      <c r="B23" s="21"/>
      <c r="C23" s="21"/>
      <c r="D23" s="21"/>
      <c r="E23" s="21"/>
    </row>
    <row r="24" customFormat="false" ht="25.5" hidden="false" customHeight="true" outlineLevel="0" collapsed="false">
      <c r="A24" s="11" t="s">
        <v>185</v>
      </c>
      <c r="B24" s="3" t="s">
        <v>299</v>
      </c>
      <c r="C24" s="3" t="s">
        <v>252</v>
      </c>
      <c r="D24" s="3" t="s">
        <v>350</v>
      </c>
      <c r="E24" s="3" t="s">
        <v>209</v>
      </c>
    </row>
    <row r="25" customFormat="false" ht="24" hidden="false" customHeight="true" outlineLevel="0" collapsed="false">
      <c r="A25" s="20" t="n">
        <v>1</v>
      </c>
      <c r="B25" s="4" t="s">
        <v>351</v>
      </c>
      <c r="C25" s="20" t="s">
        <v>352</v>
      </c>
      <c r="D25" s="4" t="s">
        <v>353</v>
      </c>
      <c r="E25" s="4" t="s">
        <v>354</v>
      </c>
    </row>
    <row r="26" customFormat="false" ht="24" hidden="false" customHeight="true" outlineLevel="0" collapsed="false">
      <c r="A26" s="20" t="n">
        <v>2</v>
      </c>
      <c r="B26" s="4" t="s">
        <v>355</v>
      </c>
      <c r="C26" s="20" t="s">
        <v>356</v>
      </c>
      <c r="D26" s="4" t="s">
        <v>357</v>
      </c>
      <c r="E26" s="4" t="s">
        <v>358</v>
      </c>
    </row>
    <row r="27" customFormat="false" ht="24" hidden="false" customHeight="true" outlineLevel="0" collapsed="false">
      <c r="A27" s="20" t="n">
        <v>3</v>
      </c>
      <c r="B27" s="4" t="s">
        <v>359</v>
      </c>
      <c r="C27" s="19" t="s">
        <v>360</v>
      </c>
      <c r="D27" s="4" t="s">
        <v>361</v>
      </c>
      <c r="E27" s="5" t="s">
        <v>362</v>
      </c>
    </row>
    <row r="28" customFormat="false" ht="24" hidden="false" customHeight="true" outlineLevel="0" collapsed="false">
      <c r="A28" s="20" t="n">
        <v>4</v>
      </c>
      <c r="B28" s="5" t="s">
        <v>363</v>
      </c>
      <c r="C28" s="19" t="s">
        <v>360</v>
      </c>
      <c r="D28" s="4" t="s">
        <v>364</v>
      </c>
      <c r="E28" s="4" t="s">
        <v>365</v>
      </c>
    </row>
    <row r="29" customFormat="false" ht="24" hidden="false" customHeight="true" outlineLevel="0" collapsed="false">
      <c r="A29" s="20" t="n">
        <v>5</v>
      </c>
      <c r="B29" s="4" t="s">
        <v>366</v>
      </c>
      <c r="C29" s="20" t="s">
        <v>356</v>
      </c>
      <c r="D29" s="4" t="s">
        <v>367</v>
      </c>
      <c r="E29" s="4" t="s">
        <v>368</v>
      </c>
    </row>
  </sheetData>
  <mergeCells count="5">
    <mergeCell ref="A1:E1"/>
    <mergeCell ref="A2:E2"/>
    <mergeCell ref="A4:E4"/>
    <mergeCell ref="A13:E13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369</v>
      </c>
      <c r="B1" s="1"/>
      <c r="C1" s="1"/>
      <c r="D1" s="1"/>
      <c r="E1" s="1"/>
    </row>
    <row r="2" customFormat="false" ht="18" hidden="false" customHeight="true" outlineLevel="0" collapsed="false">
      <c r="A2" s="10" t="s">
        <v>370</v>
      </c>
      <c r="B2" s="10"/>
      <c r="C2" s="10"/>
      <c r="D2" s="10"/>
      <c r="E2" s="10"/>
    </row>
    <row r="4" customFormat="false" ht="25.5" hidden="false" customHeight="true" outlineLevel="0" collapsed="false">
      <c r="A4" s="11" t="s">
        <v>185</v>
      </c>
      <c r="B4" s="3" t="s">
        <v>371</v>
      </c>
      <c r="C4" s="3" t="s">
        <v>372</v>
      </c>
      <c r="D4" s="3" t="s">
        <v>373</v>
      </c>
      <c r="E4" s="3" t="s">
        <v>374</v>
      </c>
    </row>
    <row r="5" customFormat="false" ht="36" hidden="false" customHeight="true" outlineLevel="0" collapsed="false">
      <c r="A5" s="47" t="s">
        <v>375</v>
      </c>
      <c r="B5" s="48" t="s">
        <v>376</v>
      </c>
      <c r="C5" s="48" t="s">
        <v>377</v>
      </c>
      <c r="D5" s="49" t="s">
        <v>378</v>
      </c>
      <c r="E5" s="50" t="s">
        <v>379</v>
      </c>
    </row>
    <row r="6" customFormat="false" ht="36" hidden="false" customHeight="true" outlineLevel="0" collapsed="false">
      <c r="A6" s="19" t="s">
        <v>380</v>
      </c>
      <c r="B6" s="5" t="s">
        <v>381</v>
      </c>
      <c r="C6" s="5" t="s">
        <v>382</v>
      </c>
      <c r="D6" s="4" t="s">
        <v>383</v>
      </c>
      <c r="E6" s="20" t="s">
        <v>379</v>
      </c>
    </row>
    <row r="7" customFormat="false" ht="36" hidden="false" customHeight="true" outlineLevel="0" collapsed="false">
      <c r="A7" s="19" t="s">
        <v>384</v>
      </c>
      <c r="B7" s="4" t="s">
        <v>385</v>
      </c>
      <c r="C7" s="4" t="s">
        <v>386</v>
      </c>
      <c r="D7" s="4" t="s">
        <v>387</v>
      </c>
      <c r="E7" s="20" t="s">
        <v>388</v>
      </c>
    </row>
    <row r="8" customFormat="false" ht="36" hidden="false" customHeight="true" outlineLevel="0" collapsed="false">
      <c r="A8" s="19" t="s">
        <v>389</v>
      </c>
      <c r="B8" s="4" t="s">
        <v>390</v>
      </c>
      <c r="C8" s="4" t="s">
        <v>391</v>
      </c>
      <c r="D8" s="4" t="s">
        <v>392</v>
      </c>
      <c r="E8" s="20" t="s">
        <v>393</v>
      </c>
    </row>
    <row r="9" customFormat="false" ht="36" hidden="false" customHeight="true" outlineLevel="0" collapsed="false">
      <c r="A9" s="47" t="s">
        <v>394</v>
      </c>
      <c r="B9" s="48" t="s">
        <v>395</v>
      </c>
      <c r="C9" s="48" t="s">
        <v>396</v>
      </c>
      <c r="D9" s="49" t="s">
        <v>397</v>
      </c>
      <c r="E9" s="50" t="s">
        <v>398</v>
      </c>
    </row>
    <row r="10" customFormat="false" ht="36" hidden="false" customHeight="true" outlineLevel="0" collapsed="false">
      <c r="A10" s="19" t="s">
        <v>399</v>
      </c>
      <c r="B10" s="5" t="s">
        <v>400</v>
      </c>
      <c r="C10" s="4" t="s">
        <v>401</v>
      </c>
      <c r="D10" s="4" t="s">
        <v>402</v>
      </c>
      <c r="E10" s="20" t="s">
        <v>403</v>
      </c>
    </row>
    <row r="11" customFormat="false" ht="36" hidden="false" customHeight="true" outlineLevel="0" collapsed="false">
      <c r="A11" s="19" t="s">
        <v>404</v>
      </c>
      <c r="B11" s="4" t="s">
        <v>405</v>
      </c>
      <c r="C11" s="4" t="s">
        <v>406</v>
      </c>
      <c r="D11" s="5" t="s">
        <v>407</v>
      </c>
      <c r="E11" s="20" t="s">
        <v>408</v>
      </c>
    </row>
    <row r="12" customFormat="false" ht="19.5" hidden="false" customHeight="true" outlineLevel="0" collapsed="false">
      <c r="A12" s="9" t="s">
        <v>409</v>
      </c>
      <c r="B12" s="9"/>
      <c r="C12" s="9"/>
      <c r="D12" s="9"/>
      <c r="E12" s="9"/>
    </row>
    <row r="14" customFormat="false" ht="17.15" hidden="false" customHeight="false" outlineLevel="0" collapsed="false">
      <c r="A14" s="51" t="s">
        <v>410</v>
      </c>
      <c r="B14" s="51"/>
      <c r="C14" s="51"/>
      <c r="D14" s="51"/>
      <c r="E14" s="51"/>
    </row>
    <row r="15" customFormat="false" ht="25.5" hidden="false" customHeight="true" outlineLevel="0" collapsed="false">
      <c r="A15" s="11" t="s">
        <v>185</v>
      </c>
      <c r="B15" s="3" t="s">
        <v>411</v>
      </c>
      <c r="C15" s="3" t="s">
        <v>412</v>
      </c>
      <c r="D15" s="3" t="s">
        <v>413</v>
      </c>
      <c r="E15" s="3" t="s">
        <v>374</v>
      </c>
    </row>
    <row r="16" customFormat="false" ht="24" hidden="false" customHeight="true" outlineLevel="0" collapsed="false">
      <c r="A16" s="35" t="n">
        <v>1</v>
      </c>
      <c r="B16" s="46" t="s">
        <v>414</v>
      </c>
      <c r="C16" s="52" t="s">
        <v>415</v>
      </c>
      <c r="D16" s="45" t="s">
        <v>416</v>
      </c>
      <c r="E16" s="52" t="s">
        <v>417</v>
      </c>
    </row>
    <row r="17" customFormat="false" ht="24" hidden="false" customHeight="true" outlineLevel="0" collapsed="false">
      <c r="A17" s="20" t="n">
        <v>2</v>
      </c>
      <c r="B17" s="4" t="s">
        <v>418</v>
      </c>
      <c r="C17" s="20" t="s">
        <v>419</v>
      </c>
      <c r="D17" s="4" t="s">
        <v>420</v>
      </c>
      <c r="E17" s="20" t="s">
        <v>388</v>
      </c>
    </row>
    <row r="18" customFormat="false" ht="24" hidden="false" customHeight="true" outlineLevel="0" collapsed="false">
      <c r="A18" s="42" t="n">
        <v>3</v>
      </c>
      <c r="B18" s="44" t="s">
        <v>421</v>
      </c>
      <c r="C18" s="53" t="s">
        <v>422</v>
      </c>
      <c r="D18" s="43" t="s">
        <v>423</v>
      </c>
      <c r="E18" s="53" t="s">
        <v>388</v>
      </c>
    </row>
    <row r="19" customFormat="false" ht="24" hidden="false" customHeight="true" outlineLevel="0" collapsed="false">
      <c r="A19" s="53" t="n">
        <v>4</v>
      </c>
      <c r="B19" s="43" t="s">
        <v>424</v>
      </c>
      <c r="C19" s="53" t="s">
        <v>422</v>
      </c>
      <c r="D19" s="44" t="s">
        <v>425</v>
      </c>
      <c r="E19" s="53" t="s">
        <v>388</v>
      </c>
    </row>
    <row r="20" customFormat="false" ht="24" hidden="false" customHeight="true" outlineLevel="0" collapsed="false">
      <c r="A20" s="20" t="n">
        <v>5</v>
      </c>
      <c r="B20" s="4" t="s">
        <v>426</v>
      </c>
      <c r="C20" s="20" t="s">
        <v>419</v>
      </c>
      <c r="D20" s="4" t="s">
        <v>427</v>
      </c>
      <c r="E20" s="20" t="s">
        <v>379</v>
      </c>
    </row>
  </sheetData>
  <mergeCells count="4">
    <mergeCell ref="A1:E1"/>
    <mergeCell ref="A2:E2"/>
    <mergeCell ref="A12:E1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6" min="3" style="0" width="13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428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10" t="s">
        <v>429</v>
      </c>
      <c r="B2" s="10"/>
      <c r="C2" s="10"/>
      <c r="D2" s="10"/>
      <c r="E2" s="10"/>
      <c r="F2" s="10"/>
      <c r="G2" s="10"/>
    </row>
    <row r="4" customFormat="false" ht="25.5" hidden="false" customHeight="true" outlineLevel="0" collapsed="false">
      <c r="A4" s="11" t="s">
        <v>185</v>
      </c>
      <c r="B4" s="3" t="s">
        <v>430</v>
      </c>
      <c r="C4" s="3" t="s">
        <v>431</v>
      </c>
      <c r="D4" s="3" t="s">
        <v>432</v>
      </c>
      <c r="E4" s="3" t="s">
        <v>433</v>
      </c>
      <c r="F4" s="3" t="s">
        <v>398</v>
      </c>
      <c r="G4" s="3" t="s">
        <v>162</v>
      </c>
    </row>
    <row r="5" customFormat="false" ht="24" hidden="false" customHeight="true" outlineLevel="0" collapsed="false">
      <c r="A5" s="20" t="n">
        <v>1</v>
      </c>
      <c r="B5" s="4" t="s">
        <v>434</v>
      </c>
      <c r="C5" s="19" t="s">
        <v>435</v>
      </c>
      <c r="D5" s="19" t="s">
        <v>436</v>
      </c>
      <c r="E5" s="19" t="s">
        <v>437</v>
      </c>
      <c r="F5" s="19" t="s">
        <v>437</v>
      </c>
      <c r="G5" s="4" t="s">
        <v>438</v>
      </c>
    </row>
    <row r="6" customFormat="false" ht="24" hidden="false" customHeight="true" outlineLevel="0" collapsed="false">
      <c r="A6" s="20" t="n">
        <v>2</v>
      </c>
      <c r="B6" s="4" t="s">
        <v>439</v>
      </c>
      <c r="C6" s="19" t="s">
        <v>436</v>
      </c>
      <c r="D6" s="19" t="s">
        <v>435</v>
      </c>
      <c r="E6" s="19" t="s">
        <v>436</v>
      </c>
      <c r="F6" s="19" t="s">
        <v>437</v>
      </c>
      <c r="G6" s="4" t="s">
        <v>440</v>
      </c>
    </row>
    <row r="7" customFormat="false" ht="24" hidden="false" customHeight="true" outlineLevel="0" collapsed="false">
      <c r="A7" s="20" t="n">
        <v>3</v>
      </c>
      <c r="B7" s="4" t="s">
        <v>441</v>
      </c>
      <c r="C7" s="19" t="s">
        <v>437</v>
      </c>
      <c r="D7" s="19" t="s">
        <v>435</v>
      </c>
      <c r="E7" s="19" t="s">
        <v>436</v>
      </c>
      <c r="F7" s="19" t="s">
        <v>437</v>
      </c>
      <c r="G7" s="4" t="s">
        <v>442</v>
      </c>
    </row>
    <row r="8" customFormat="false" ht="24" hidden="false" customHeight="true" outlineLevel="0" collapsed="false">
      <c r="A8" s="20" t="n">
        <v>4</v>
      </c>
      <c r="B8" s="4" t="s">
        <v>443</v>
      </c>
      <c r="C8" s="19" t="s">
        <v>437</v>
      </c>
      <c r="D8" s="19" t="s">
        <v>436</v>
      </c>
      <c r="E8" s="19" t="s">
        <v>435</v>
      </c>
      <c r="F8" s="19" t="s">
        <v>436</v>
      </c>
      <c r="G8" s="4" t="s">
        <v>444</v>
      </c>
    </row>
    <row r="9" customFormat="false" ht="24" hidden="false" customHeight="true" outlineLevel="0" collapsed="false">
      <c r="A9" s="20" t="n">
        <v>5</v>
      </c>
      <c r="B9" s="5" t="s">
        <v>445</v>
      </c>
      <c r="C9" s="19" t="s">
        <v>437</v>
      </c>
      <c r="D9" s="19" t="s">
        <v>436</v>
      </c>
      <c r="E9" s="19" t="s">
        <v>435</v>
      </c>
      <c r="F9" s="19" t="s">
        <v>437</v>
      </c>
      <c r="G9" s="4" t="s">
        <v>446</v>
      </c>
    </row>
    <row r="10" customFormat="false" ht="24" hidden="false" customHeight="true" outlineLevel="0" collapsed="false">
      <c r="A10" s="20" t="n">
        <v>6</v>
      </c>
      <c r="B10" s="4" t="s">
        <v>447</v>
      </c>
      <c r="C10" s="19" t="s">
        <v>435</v>
      </c>
      <c r="D10" s="19" t="s">
        <v>436</v>
      </c>
      <c r="E10" s="19" t="s">
        <v>437</v>
      </c>
      <c r="F10" s="19" t="s">
        <v>437</v>
      </c>
      <c r="G10" s="4" t="s">
        <v>73</v>
      </c>
    </row>
    <row r="11" customFormat="false" ht="24" hidden="false" customHeight="true" outlineLevel="0" collapsed="false">
      <c r="A11" s="20" t="n">
        <v>7</v>
      </c>
      <c r="B11" s="4" t="s">
        <v>448</v>
      </c>
      <c r="C11" s="19" t="s">
        <v>436</v>
      </c>
      <c r="D11" s="19" t="s">
        <v>435</v>
      </c>
      <c r="E11" s="19" t="s">
        <v>437</v>
      </c>
      <c r="F11" s="19" t="s">
        <v>437</v>
      </c>
      <c r="G11" s="4" t="s">
        <v>172</v>
      </c>
    </row>
    <row r="12" customFormat="false" ht="24" hidden="false" customHeight="true" outlineLevel="0" collapsed="false">
      <c r="A12" s="20" t="n">
        <v>8</v>
      </c>
      <c r="B12" s="4" t="s">
        <v>449</v>
      </c>
      <c r="C12" s="19" t="s">
        <v>435</v>
      </c>
      <c r="D12" s="19" t="s">
        <v>437</v>
      </c>
      <c r="E12" s="19" t="s">
        <v>437</v>
      </c>
      <c r="F12" s="19" t="s">
        <v>436</v>
      </c>
      <c r="G12" s="5" t="s">
        <v>450</v>
      </c>
    </row>
    <row r="13" customFormat="false" ht="24" hidden="false" customHeight="true" outlineLevel="0" collapsed="false">
      <c r="A13" s="20" t="n">
        <v>9</v>
      </c>
      <c r="B13" s="5" t="s">
        <v>451</v>
      </c>
      <c r="C13" s="19" t="s">
        <v>435</v>
      </c>
      <c r="D13" s="19" t="s">
        <v>436</v>
      </c>
      <c r="E13" s="19" t="s">
        <v>437</v>
      </c>
      <c r="F13" s="19" t="s">
        <v>437</v>
      </c>
      <c r="G13" s="5" t="s">
        <v>452</v>
      </c>
    </row>
    <row r="14" customFormat="false" ht="24" hidden="false" customHeight="true" outlineLevel="0" collapsed="false">
      <c r="A14" s="20" t="n">
        <v>10</v>
      </c>
      <c r="B14" s="4" t="s">
        <v>453</v>
      </c>
      <c r="C14" s="19" t="s">
        <v>436</v>
      </c>
      <c r="D14" s="19" t="s">
        <v>436</v>
      </c>
      <c r="E14" s="19" t="s">
        <v>436</v>
      </c>
      <c r="F14" s="19" t="s">
        <v>435</v>
      </c>
      <c r="G14" s="4" t="s">
        <v>454</v>
      </c>
    </row>
    <row r="15" customFormat="false" ht="24" hidden="false" customHeight="true" outlineLevel="0" collapsed="false">
      <c r="A15" s="20" t="n">
        <v>11</v>
      </c>
      <c r="B15" s="5" t="s">
        <v>455</v>
      </c>
      <c r="C15" s="19" t="s">
        <v>436</v>
      </c>
      <c r="D15" s="19" t="s">
        <v>436</v>
      </c>
      <c r="E15" s="19" t="s">
        <v>437</v>
      </c>
      <c r="F15" s="19" t="s">
        <v>435</v>
      </c>
      <c r="G15" s="4" t="s">
        <v>118</v>
      </c>
    </row>
    <row r="16" customFormat="false" ht="24" hidden="false" customHeight="true" outlineLevel="0" collapsed="false">
      <c r="A16" s="20" t="n">
        <v>12</v>
      </c>
      <c r="B16" s="4" t="s">
        <v>456</v>
      </c>
      <c r="C16" s="19" t="s">
        <v>457</v>
      </c>
      <c r="D16" s="19" t="s">
        <v>457</v>
      </c>
      <c r="E16" s="19" t="s">
        <v>437</v>
      </c>
      <c r="F16" s="19" t="s">
        <v>458</v>
      </c>
      <c r="G16" s="4" t="s">
        <v>459</v>
      </c>
    </row>
    <row r="17" customFormat="false" ht="19.5" hidden="false" customHeight="true" outlineLevel="0" collapsed="false">
      <c r="A17" s="9" t="s">
        <v>460</v>
      </c>
      <c r="B17" s="9"/>
      <c r="C17" s="9"/>
      <c r="D17" s="9"/>
      <c r="E17" s="9"/>
      <c r="F17" s="9"/>
      <c r="G17" s="9"/>
    </row>
    <row r="19" customFormat="false" ht="25.5" hidden="false" customHeight="true" outlineLevel="0" collapsed="false">
      <c r="A19" s="11" t="s">
        <v>185</v>
      </c>
      <c r="B19" s="3" t="s">
        <v>461</v>
      </c>
      <c r="C19" s="3" t="s">
        <v>462</v>
      </c>
      <c r="D19" s="3"/>
      <c r="E19" s="3"/>
      <c r="F19" s="3"/>
      <c r="G19" s="3" t="s">
        <v>463</v>
      </c>
    </row>
    <row r="20" customFormat="false" ht="24" hidden="false" customHeight="true" outlineLevel="0" collapsed="false">
      <c r="A20" s="20" t="n">
        <v>1</v>
      </c>
      <c r="B20" s="4" t="s">
        <v>464</v>
      </c>
      <c r="C20" s="20" t="s">
        <v>465</v>
      </c>
      <c r="D20" s="4"/>
      <c r="E20" s="4"/>
      <c r="F20" s="4"/>
      <c r="G20" s="4" t="s">
        <v>466</v>
      </c>
    </row>
    <row r="21" customFormat="false" ht="24" hidden="false" customHeight="true" outlineLevel="0" collapsed="false">
      <c r="A21" s="20" t="n">
        <v>2</v>
      </c>
      <c r="B21" s="4" t="s">
        <v>379</v>
      </c>
      <c r="C21" s="20" t="s">
        <v>465</v>
      </c>
      <c r="D21" s="4"/>
      <c r="E21" s="4"/>
      <c r="F21" s="4"/>
      <c r="G21" s="4" t="s">
        <v>467</v>
      </c>
    </row>
    <row r="22" customFormat="false" ht="24" hidden="false" customHeight="true" outlineLevel="0" collapsed="false">
      <c r="A22" s="20" t="n">
        <v>3</v>
      </c>
      <c r="B22" s="4" t="s">
        <v>388</v>
      </c>
      <c r="C22" s="20" t="s">
        <v>465</v>
      </c>
      <c r="D22" s="4"/>
      <c r="E22" s="4"/>
      <c r="F22" s="4"/>
      <c r="G22" s="5" t="s">
        <v>468</v>
      </c>
    </row>
    <row r="23" customFormat="false" ht="24" hidden="false" customHeight="true" outlineLevel="0" collapsed="false">
      <c r="A23" s="20" t="n">
        <v>4</v>
      </c>
      <c r="B23" s="4" t="s">
        <v>398</v>
      </c>
      <c r="C23" s="20" t="s">
        <v>465</v>
      </c>
      <c r="D23" s="4"/>
      <c r="E23" s="4"/>
      <c r="F23" s="4"/>
      <c r="G23" s="4" t="s">
        <v>469</v>
      </c>
    </row>
  </sheetData>
  <mergeCells count="3">
    <mergeCell ref="A1:G1"/>
    <mergeCell ref="A2:G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2026-08-07T11:25:53Z</dcterms:created>
  <dc:creator>openpyxl</dc:creator>
  <dc:description/>
  <dc:language>en-US</dc:language>
  <cp:lastModifiedBy/>
  <dcterms:modified xsi:type="dcterms:W3CDTF">2026-08-07T11:25:53Z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